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D2901291-EE16-BAEF-A0FF-EE518A719B5A}"/>
  <workbookPr codeName="EstaPasta_de_trabalho"/>
  <mc:AlternateContent xmlns:mc="http://schemas.openxmlformats.org/markup-compatibility/2006">
    <mc:Choice Requires="x15">
      <x15ac:absPath xmlns:x15ac="http://schemas.microsoft.com/office/spreadsheetml/2010/11/ac" url="C:\Users\Matheus Fontanella\Documents\GitHub\MatheusFontanella\"/>
    </mc:Choice>
  </mc:AlternateContent>
  <xr:revisionPtr revIDLastSave="0" documentId="13_ncr:1_{85465025-E1E7-42D9-BEC5-D6B6F9A1913E}" xr6:coauthVersionLast="47" xr6:coauthVersionMax="47" xr10:uidLastSave="{00000000-0000-0000-0000-000000000000}"/>
  <bookViews>
    <workbookView xWindow="-108" yWindow="-108" windowWidth="23256" windowHeight="12456" xr2:uid="{00000000-000D-0000-FFFF-FFFF00000000}"/>
  </bookViews>
  <sheets>
    <sheet name="Married" sheetId="1" r:id="rId1"/>
    <sheet name="Data" sheetId="2" r:id="rId2"/>
    <sheet name="Extras" sheetId="4" r:id="rId3"/>
    <sheet name="IELTS" sheetId="3" r:id="rId4"/>
    <sheet name="CELPIP" sheetId="6" r:id="rId5"/>
    <sheet name="TEF" sheetId="5" r:id="rId6"/>
  </sheets>
  <definedNames>
    <definedName name="_xlnm._FilterDatabase" localSheetId="1" hidden="1">Data!$B$3:$C$3</definedName>
    <definedName name="CANSt">Data!$W$4:$W$7</definedName>
    <definedName name="CANW1">Data!$N$4:$N$9</definedName>
    <definedName name="CANW2">Data!$Q$4:$Q$9</definedName>
    <definedName name="CCLB" localSheetId="4">CELPIP!$F$3:$F$10</definedName>
    <definedName name="CELPIPSpeak">Tabela134[speaking]</definedName>
    <definedName name="CertQualy">Extras!$K$11:$K$12</definedName>
    <definedName name="CLangPt1" localSheetId="4">CELPIP!$G$2:$G$10</definedName>
    <definedName name="CLangPt2" localSheetId="4">CELPIP!$H$2:$H$10</definedName>
    <definedName name="CLB">Tabela1[[#All],[clb]]</definedName>
    <definedName name="CListening">Tabela134[listening]</definedName>
    <definedName name="CReading">Tabela134[reading]</definedName>
    <definedName name="CSpeaking">Tabela134[speaking]</definedName>
    <definedName name="CWriting">Tabela134[writing]</definedName>
    <definedName name="Edulvl1">Data!$F$4:$F$11</definedName>
    <definedName name="Edulvl2">Data!$J$4:$J$11</definedName>
    <definedName name="Extra1">Extras!$B$5:$B$7</definedName>
    <definedName name="Extra1a">Extras!$B$10:$B$12</definedName>
    <definedName name="Extra2">Extras!$E$5:$E$7</definedName>
    <definedName name="Extra2a">Extras!$E$11:$E$13</definedName>
    <definedName name="Extra3">Extras!$H$5:$H$7</definedName>
    <definedName name="Extra3a">Extras!$H$11:$H$13</definedName>
    <definedName name="Idade1">Data!$B$4:$B$23</definedName>
    <definedName name="JobOffer">Extras!$N$5:$N$8</definedName>
    <definedName name="LangPt1">IELTS!$G$2:$G$10</definedName>
    <definedName name="LangPt2">IELTS!$H$2:$H$10</definedName>
    <definedName name="LangPt3">Tabela1[[#All],[points 3°]]</definedName>
    <definedName name="LangSelect">Data!$W$12:$W$15</definedName>
    <definedName name="Listening">IELTS!$C$3:$C$10</definedName>
    <definedName name="Points1">Data!$C$3:$C$23</definedName>
    <definedName name="Points2">Data!$G$3:$G$11</definedName>
    <definedName name="Points3">Data!$K$3:$K$11</definedName>
    <definedName name="Points4">Data!$O$3:$O$9</definedName>
    <definedName name="Points5">Data!$R$3:$R$9</definedName>
    <definedName name="Points6">Data!$U$3:$U$6</definedName>
    <definedName name="Points6a">Data!$U$11:$U$14</definedName>
    <definedName name="Points7">Data!$X$3:$X$7</definedName>
    <definedName name="PointsEx1">Extras!$C$4:$C$7</definedName>
    <definedName name="PointsEx1a">Extras!$C$9:$C$12</definedName>
    <definedName name="PointsEx2">Extras!$F$4:$F$7</definedName>
    <definedName name="PointsEx2a">Extras!$F$10:$F$13</definedName>
    <definedName name="PointsEx3">Extras!$I$4:$I$7</definedName>
    <definedName name="PointsEx3a">Extras!$I$10:$I$13</definedName>
    <definedName name="PointsJob1">Extras!$O$4:$O$8</definedName>
    <definedName name="PointsP1">Extras!$O$10:$O$12</definedName>
    <definedName name="PointsQ1">Extras!$L$10:$L$12</definedName>
    <definedName name="PointsS1">Extras!$L$4:$L$6</definedName>
    <definedName name="ProvCert1">Extras!$N$11:$N$12</definedName>
    <definedName name="Reading">IELTS!$D$3:$D$10</definedName>
    <definedName name="Siblin">Extras!$K$5:$K$6</definedName>
    <definedName name="Speaking">IELTS!$B$3:$B$10</definedName>
    <definedName name="TCLB" localSheetId="5">Tabela1345[clb]</definedName>
    <definedName name="TLangPt1" localSheetId="5">Tabela1345[points 1°]</definedName>
    <definedName name="TLangPt2" localSheetId="5">Tabela1345[points 2°]</definedName>
    <definedName name="TListening">Tabela1345[listening]</definedName>
    <definedName name="TReading">Tabela1345[reading]</definedName>
    <definedName name="TSpeaking">Tabela1345[speaking]</definedName>
    <definedName name="TWriting">Tabela1345[writing]</definedName>
    <definedName name="Work1">Data!$T$4:$T$6</definedName>
    <definedName name="Work1a">Data!$T$12:$T$14</definedName>
    <definedName name="Writing">IELTS!$E$3:$E$10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1" l="1" a="1"/>
  <c r="F6" i="1" s="1"/>
  <c r="N5" i="1"/>
  <c r="N6" i="1"/>
  <c r="N4" i="1"/>
  <c r="E25" i="1"/>
  <c r="E24" i="1"/>
  <c r="E23" i="1"/>
  <c r="E12" i="1"/>
  <c r="B21" i="4" l="1"/>
  <c r="F9" i="1"/>
  <c r="F8" i="1"/>
  <c r="E8" i="1"/>
  <c r="F7" i="1"/>
  <c r="E9" i="1"/>
  <c r="E7" i="1"/>
  <c r="E16" i="1" a="1"/>
  <c r="E16" i="1" s="1"/>
  <c r="E15" i="1" a="1"/>
  <c r="E15" i="1" s="1"/>
  <c r="E14" i="1" a="1"/>
  <c r="E14" i="1" s="1"/>
  <c r="E13" i="1" a="1"/>
  <c r="E13" i="1" s="1"/>
  <c r="E32" i="1"/>
  <c r="E31" i="1"/>
  <c r="E30" i="1"/>
  <c r="E29" i="1"/>
  <c r="E6" i="1"/>
  <c r="E26" i="1"/>
  <c r="E28" i="1"/>
  <c r="E27" i="1"/>
  <c r="E11" i="1"/>
  <c r="E5" i="1"/>
  <c r="E4" i="1"/>
  <c r="C18" i="4" l="1"/>
  <c r="C19" i="4" s="1"/>
  <c r="J5" i="1"/>
  <c r="C13" i="4"/>
  <c r="C15" i="4"/>
  <c r="E21" i="1" s="1"/>
  <c r="C14" i="4"/>
  <c r="E19" i="1" l="1"/>
  <c r="E18" i="1"/>
  <c r="E20" i="1"/>
  <c r="E10" i="1"/>
  <c r="C16" i="4" l="1"/>
  <c r="E22" i="1" s="1"/>
  <c r="J4" i="1" s="1"/>
  <c r="J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C5" authorId="0" shapeId="0" xr:uid="{00000000-0006-0000-0000-000001000000}">
      <text>
        <r>
          <rPr>
            <b/>
            <sz val="9"/>
            <color indexed="81"/>
            <rFont val="Segoe UI"/>
            <family val="2"/>
          </rPr>
          <t>Usuário do Windows:</t>
        </r>
        <r>
          <rPr>
            <sz val="9"/>
            <color indexed="81"/>
            <rFont val="Segoe UI"/>
            <family val="2"/>
          </rPr>
          <t xml:space="preserve">
earned a Canadian degree, diploma or certificate or
had an Educational Credential Assessment (ECA) if you did your study outside Canada. (ECAs must be from an approved agency, in the last five years)</t>
        </r>
      </text>
    </comment>
    <comment ref="C10" authorId="0" shapeId="0" xr:uid="{00000000-0006-0000-0000-000002000000}">
      <text>
        <r>
          <rPr>
            <b/>
            <sz val="9"/>
            <color indexed="81"/>
            <rFont val="Segoe UI"/>
            <family val="2"/>
          </rPr>
          <t>Usuário do Windows:</t>
        </r>
        <r>
          <rPr>
            <sz val="9"/>
            <color indexed="81"/>
            <rFont val="Segoe UI"/>
            <family val="2"/>
          </rPr>
          <t xml:space="preserve">
It must have been paid, full-time (or an equal amount in part-time), and in only one occupation (NOC skill type 0, A or B).</t>
        </r>
      </text>
    </comment>
    <comment ref="C12" authorId="0" shapeId="0" xr:uid="{00000000-0006-0000-0000-000003000000}">
      <text>
        <r>
          <rPr>
            <b/>
            <sz val="9"/>
            <color indexed="81"/>
            <rFont val="Segoe UI"/>
            <family val="2"/>
          </rPr>
          <t>Usuário do Windows:</t>
        </r>
        <r>
          <rPr>
            <sz val="9"/>
            <color indexed="81"/>
            <rFont val="Segoe UI"/>
            <family val="2"/>
          </rPr>
          <t xml:space="preserve">
Note: to answer yes:
English or French as a Second Language must not have made up more than half your study
you must not have studied under an award that required you to return to your home country after graduation to apply your skills and knowledge
you must have studied at a school within Canada (foreign campuses don’t count)
you had to be enrolled full time for at least eight months, and have been physically present in Canada for at least eight months</t>
        </r>
      </text>
    </comment>
    <comment ref="C23" authorId="0" shapeId="0" xr:uid="{00000000-0006-0000-0000-000004000000}">
      <text>
        <r>
          <rPr>
            <b/>
            <sz val="9"/>
            <color indexed="81"/>
            <rFont val="Segoe UI"/>
            <family val="2"/>
          </rPr>
          <t>Usuário do Windows:</t>
        </r>
        <r>
          <rPr>
            <sz val="9"/>
            <color indexed="81"/>
            <rFont val="Segoe UI"/>
            <family val="2"/>
          </rPr>
          <t xml:space="preserve">
Note: A certificate of qualification lets people work in some skilled trades in Canada. Only the provinces, territories and a federal body can issue these certificates. To get one, a person must have them assess their training, trade experience and skills to and then pass a certification exam.
People usually have to go to the province or territory to be assessed. They may also need experience and training from an employer in Canada.</t>
        </r>
      </text>
    </comment>
    <comment ref="C25" authorId="0" shapeId="0" xr:uid="{00000000-0006-0000-0000-000005000000}">
      <text>
        <r>
          <rPr>
            <b/>
            <sz val="9"/>
            <color indexed="81"/>
            <rFont val="Segoe UI"/>
            <family val="2"/>
          </rPr>
          <t>Usuário do Windows:</t>
        </r>
        <r>
          <rPr>
            <sz val="9"/>
            <color indexed="81"/>
            <rFont val="Segoe UI"/>
            <family val="2"/>
          </rPr>
          <t xml:space="preserve">
A valid job offer must be
full-time
in a skilled job listed as Skill Type 0, or Skill Level A or B in the 2011 National Occupational Classification
supported by a Labour Market Impact Assessment (LMIA) or exempt from needing one
for one year from the time you become a permanent resident
A job offer isn’t valid if your employer is:
an embassy, high commission or consulate in Canada or
on the list of ineligible employers.</t>
        </r>
      </text>
    </comment>
    <comment ref="C26" authorId="0" shapeId="0" xr:uid="{00000000-0006-0000-0000-000006000000}">
      <text>
        <r>
          <rPr>
            <b/>
            <sz val="9"/>
            <color indexed="81"/>
            <rFont val="Segoe UI"/>
            <family val="2"/>
          </rPr>
          <t>Usuário do Windows:</t>
        </r>
        <r>
          <rPr>
            <sz val="9"/>
            <color indexed="81"/>
            <rFont val="Segoe UI"/>
            <family val="2"/>
          </rPr>
          <t xml:space="preserve">
Do you or your spouse or common law partner (if they will come with you to Canada) have at least one brother or sister living in Canada who is a citizen or permanent resident?
Note: to answer yes, the brother or sister must be:
18 years old or older
related to you or your partner by blood, marriage, common-law partnership or adoption
have a parent in common with you or your partner
A brother or sister is related to you by:
blood (biological)
adoption
marriage (step-brother or step-sister)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<sst xmlns="http://schemas.openxmlformats.org/spreadsheetml/2006/main" count="374" uniqueCount="166">
  <si>
    <t>Age</t>
  </si>
  <si>
    <t>Points</t>
  </si>
  <si>
    <t>17 years of age of less</t>
  </si>
  <si>
    <t>18 years of age</t>
  </si>
  <si>
    <t>19 years of age</t>
  </si>
  <si>
    <t>30 years of age</t>
  </si>
  <si>
    <t>31 years of age</t>
  </si>
  <si>
    <t>32 years of age</t>
  </si>
  <si>
    <t>33 years of age</t>
  </si>
  <si>
    <t>34 years of age</t>
  </si>
  <si>
    <t>35 years of age</t>
  </si>
  <si>
    <t>36 years of age</t>
  </si>
  <si>
    <t>37 years of age</t>
  </si>
  <si>
    <t>38 years of age</t>
  </si>
  <si>
    <t>39 years of age</t>
  </si>
  <si>
    <t>40 years of age</t>
  </si>
  <si>
    <t>41 years of age</t>
  </si>
  <si>
    <t>42 years of age</t>
  </si>
  <si>
    <t>43 years of age</t>
  </si>
  <si>
    <t>44 years of age</t>
  </si>
  <si>
    <t>45 years of age or more</t>
  </si>
  <si>
    <t>Level of Education</t>
  </si>
  <si>
    <t>Less than Secondary school (high school) credential</t>
  </si>
  <si>
    <t>Secondary school (high school) credential</t>
  </si>
  <si>
    <t>One-year post-secondary program credential</t>
  </si>
  <si>
    <t>Two-year post-secondary program credential</t>
  </si>
  <si>
    <t>Post-secondary program credential of three years or longer</t>
  </si>
  <si>
    <t>Two or more post-secondary program credentials AND at least one of these credentials was issued on completion of a post-secondary progra of three years or longer</t>
  </si>
  <si>
    <t>University-level credential at the Doctoral level</t>
  </si>
  <si>
    <t>Canadian work experience in years</t>
  </si>
  <si>
    <t>None or less than a year</t>
  </si>
  <si>
    <t>1 year</t>
  </si>
  <si>
    <t>2 years</t>
  </si>
  <si>
    <t>3 years</t>
  </si>
  <si>
    <t>4 years</t>
  </si>
  <si>
    <t>5 years or more</t>
  </si>
  <si>
    <t>Foreign work experience and language ability</t>
  </si>
  <si>
    <t>Points (CLB 7 or higher on all language abilities, with one or more abilities under CLB 9)</t>
  </si>
  <si>
    <t>No foreign work experience</t>
  </si>
  <si>
    <t>1 or 2 years of foreign work experience</t>
  </si>
  <si>
    <t>3 years of more of foreign work experience</t>
  </si>
  <si>
    <t>6.5</t>
  </si>
  <si>
    <t>speaking</t>
  </si>
  <si>
    <t>listening</t>
  </si>
  <si>
    <t>reading</t>
  </si>
  <si>
    <t>writing</t>
  </si>
  <si>
    <t>clb</t>
  </si>
  <si>
    <t>0 - 3.5</t>
  </si>
  <si>
    <t>0 - 3</t>
  </si>
  <si>
    <t>0 - 4</t>
  </si>
  <si>
    <t>3.5</t>
  </si>
  <si>
    <t>4 - 4.5</t>
  </si>
  <si>
    <t>5 - 5.5</t>
  </si>
  <si>
    <t>7 - 7.5</t>
  </si>
  <si>
    <t>8 +</t>
  </si>
  <si>
    <t>5.5</t>
  </si>
  <si>
    <t>7.5 +</t>
  </si>
  <si>
    <t>4.5</t>
  </si>
  <si>
    <t>6.5 - 7.5</t>
  </si>
  <si>
    <t>8.5 +</t>
  </si>
  <si>
    <t>points</t>
  </si>
  <si>
    <t>points 1°</t>
  </si>
  <si>
    <t>points 2°</t>
  </si>
  <si>
    <t>Lvl of Education</t>
  </si>
  <si>
    <t>Canadian Work Exp</t>
  </si>
  <si>
    <t>Foreign Work</t>
  </si>
  <si>
    <t>Education and CAN Work</t>
  </si>
  <si>
    <t>Education and language ability</t>
  </si>
  <si>
    <t>Secondary school (high school) credential or less (levels 1&amp;2)</t>
  </si>
  <si>
    <t>Post-secondary program credential of one year or longer (levels 3, 4 &amp; 5)</t>
  </si>
  <si>
    <t>Two or more post secondary program credentials AND at least one of these credentials was issued on completion of a post-secondary program of three years or longer (levels 6, 7 &amp; 8)</t>
  </si>
  <si>
    <t>Points (1 year of Canadian work experience)</t>
  </si>
  <si>
    <t>Secondary school (high school) credential or less (levels 1 &amp; 2)</t>
  </si>
  <si>
    <t>Post-secondary program credential of one year or longer (levels 3,4 &amp; 5)</t>
  </si>
  <si>
    <t>Two or more post-secondary program credentials AND at least on of these credentials was issued on completion of a post-secondary program three years</t>
  </si>
  <si>
    <t>Foreign work experience and Canadian work experience</t>
  </si>
  <si>
    <t>TRUE?</t>
  </si>
  <si>
    <t>Education and CLB7</t>
  </si>
  <si>
    <t>Education and Canadian work exp</t>
  </si>
  <si>
    <t>Points (2 year or more of Canadian work experience)</t>
  </si>
  <si>
    <t>Foreign and CAN Work</t>
  </si>
  <si>
    <t>Foreign and Canadian work exp</t>
  </si>
  <si>
    <t>Siblin in Canada</t>
  </si>
  <si>
    <t>YES</t>
  </si>
  <si>
    <t>NO</t>
  </si>
  <si>
    <t>Siblin</t>
  </si>
  <si>
    <t>Main Applicant</t>
  </si>
  <si>
    <t>Spouse factors</t>
  </si>
  <si>
    <t>Main Extra</t>
  </si>
  <si>
    <t>Total</t>
  </si>
  <si>
    <t>Selection</t>
  </si>
  <si>
    <t>Subject</t>
  </si>
  <si>
    <t>CRS Score</t>
  </si>
  <si>
    <t>https://www.canada.ca/en/immigration-refugees-citizenship/services/immigrate-canada/express-entry/submit-profile/rounds-invitations.html</t>
  </si>
  <si>
    <t>University-level credential at the Master's level OR and entry-to-practice professional degree.</t>
  </si>
  <si>
    <t>Main SubTotal</t>
  </si>
  <si>
    <t>Spouse SubTotal</t>
  </si>
  <si>
    <t>Canadian degree, diploma or certificate</t>
  </si>
  <si>
    <t>Secondary (high school) or less</t>
  </si>
  <si>
    <t>One- or two- year diploma or certificate</t>
  </si>
  <si>
    <t>Degree, diploma or certificate of three years or longer OR a Master's, professional or doctoral degree of at least one academic year</t>
  </si>
  <si>
    <t>Certificate of qualification</t>
  </si>
  <si>
    <t>Job offer</t>
  </si>
  <si>
    <t>NOC Skill Type 00</t>
  </si>
  <si>
    <t>NOC Skill lvl A or B or any Type 0 other than 00</t>
  </si>
  <si>
    <t>NOC Skill lvl C or D</t>
  </si>
  <si>
    <t>Province or territory nomination certificate</t>
  </si>
  <si>
    <t>CAN degree/diploma/certif</t>
  </si>
  <si>
    <t>Job Offer</t>
  </si>
  <si>
    <t>Province/territory nomin certif</t>
  </si>
  <si>
    <t>Certificate of Qualification</t>
  </si>
  <si>
    <t>Find out your NOC (National Occupational Classification)</t>
  </si>
  <si>
    <t>Double check your score!</t>
  </si>
  <si>
    <t>20 to 29 years of age</t>
  </si>
  <si>
    <t>Points (CLB 7)</t>
  </si>
  <si>
    <t>Points (CLB 9+)</t>
  </si>
  <si>
    <t>Lang (CLB9+) and foreign work</t>
  </si>
  <si>
    <t>Education and CLB9+</t>
  </si>
  <si>
    <t>Speaking</t>
  </si>
  <si>
    <t>Listening</t>
  </si>
  <si>
    <t>Reading</t>
  </si>
  <si>
    <t>Writing</t>
  </si>
  <si>
    <r>
      <t>Main 1</t>
    </r>
    <r>
      <rPr>
        <sz val="11"/>
        <color theme="1"/>
        <rFont val="Aptos Narrow"/>
        <family val="2"/>
      </rPr>
      <t>°</t>
    </r>
    <r>
      <rPr>
        <sz val="12.1"/>
        <color theme="1"/>
        <rFont val="Calibri"/>
        <family val="2"/>
      </rPr>
      <t xml:space="preserve"> Language Test</t>
    </r>
  </si>
  <si>
    <r>
      <t>Main 2</t>
    </r>
    <r>
      <rPr>
        <sz val="11"/>
        <color theme="1"/>
        <rFont val="Aptos Narrow"/>
        <family val="2"/>
      </rPr>
      <t>°</t>
    </r>
    <r>
      <rPr>
        <sz val="12.1"/>
        <color theme="1"/>
        <rFont val="Calibri"/>
        <family val="2"/>
      </rPr>
      <t xml:space="preserve"> Language Test</t>
    </r>
  </si>
  <si>
    <t>Spouse Language Test</t>
  </si>
  <si>
    <t>Language Selection</t>
  </si>
  <si>
    <t>IELTS</t>
  </si>
  <si>
    <t>CELPIP</t>
  </si>
  <si>
    <t>TEF</t>
  </si>
  <si>
    <t>order</t>
  </si>
  <si>
    <t>Additional Language test</t>
  </si>
  <si>
    <t>180 or less</t>
  </si>
  <si>
    <t>181-225</t>
  </si>
  <si>
    <t>226-270</t>
  </si>
  <si>
    <t>271-309</t>
  </si>
  <si>
    <t>310-348</t>
  </si>
  <si>
    <t>349-370</t>
  </si>
  <si>
    <t>371-392</t>
  </si>
  <si>
    <t>393 or more</t>
  </si>
  <si>
    <t>316 or more</t>
  </si>
  <si>
    <t>263 or more</t>
  </si>
  <si>
    <t>298-315</t>
  </si>
  <si>
    <t> 248-262</t>
  </si>
  <si>
    <t>280-297</t>
  </si>
  <si>
    <t>233-247</t>
  </si>
  <si>
    <t>249-279</t>
  </si>
  <si>
    <t>207-232</t>
  </si>
  <si>
    <t>217-248</t>
  </si>
  <si>
    <t>181-206</t>
  </si>
  <si>
    <t>181-216</t>
  </si>
  <si>
    <t>151-180</t>
  </si>
  <si>
    <t>145-180</t>
  </si>
  <si>
    <t>121-150</t>
  </si>
  <si>
    <t>144 or less</t>
  </si>
  <si>
    <t>120 or less</t>
  </si>
  <si>
    <t>10 - 13</t>
  </si>
  <si>
    <t>points 3°</t>
  </si>
  <si>
    <t>}</t>
  </si>
  <si>
    <r>
      <t xml:space="preserve">Maximum: </t>
    </r>
    <r>
      <rPr>
        <b/>
        <sz val="12"/>
        <color theme="1"/>
        <rFont val="Calibri"/>
        <family val="2"/>
        <scheme val="minor"/>
      </rPr>
      <t>22</t>
    </r>
  </si>
  <si>
    <t>French-language skills</t>
  </si>
  <si>
    <t>Education and Lang (CLB7+)</t>
  </si>
  <si>
    <t>CAN and Foreign Work</t>
  </si>
  <si>
    <t>French Lang CLB 7</t>
  </si>
  <si>
    <t>French and Eng CLB 5+</t>
  </si>
  <si>
    <t>French Position 1-Main,2-Sec</t>
  </si>
  <si>
    <t>French-language skills and CLB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</si>
</sst>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b/>
      <sz val="11"/>
      <color theme="1"/>
      <name val="Calibri"/>
      <family val="2"/>
      <scheme val="minor"/>
    </font>
    <font>
      <sz val="10"/>
      <color rgb="FF000000"/>
      <name val="Arial"/>
      <family val="2"/>
    </font>
    <font>
      <b/>
      <sz val="10"/>
      <color rgb="FF000000"/>
      <name val="Arial"/>
      <family val="2"/>
    </font>
    <font>
      <b/>
      <sz val="8"/>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sz val="12"/>
      <color rgb="FFFF0000"/>
      <name val="Bahnschrift Light"/>
      <family val="2"/>
    </font>
    <font>
      <sz val="9"/>
      <color indexed="81"/>
      <name val="Segoe UI"/>
      <family val="2"/>
    </font>
    <font>
      <b/>
      <sz val="9"/>
      <color indexed="81"/>
      <name val="Segoe UI"/>
      <family val="2"/>
    </font>
    <font>
      <sz val="11"/>
      <color theme="1"/>
      <name val="Aptos Narrow"/>
      <family val="2"/>
    </font>
    <font>
      <sz val="12.1"/>
      <color theme="1"/>
      <name val="Calibri"/>
      <family val="2"/>
    </font>
    <font>
      <sz val="8"/>
      <color rgb="FF474747"/>
      <name val="IRANSans"/>
    </font>
    <font>
      <sz val="8"/>
      <color rgb="FF4A4A4A"/>
      <name val="IRANSans"/>
    </font>
    <font>
      <sz val="8"/>
      <color rgb="FF4A4A4A"/>
      <name val="Inherit"/>
    </font>
    <font>
      <sz val="8"/>
      <color rgb="FF474747"/>
      <name val="Inherit"/>
    </font>
    <font>
      <sz val="48"/>
      <color theme="1"/>
      <name val="Calibri"/>
      <family val="2"/>
      <scheme val="minor"/>
    </font>
    <font>
      <b/>
      <sz val="12"/>
      <color theme="1"/>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rgb="FFD6D6D6"/>
        <bgColor indexed="64"/>
      </patternFill>
    </fill>
    <fill>
      <patternFill patternType="solid">
        <fgColor rgb="FFE6E6E6"/>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tint="-0.14999847407452621"/>
        <bgColor theme="0" tint="-0.14999847407452621"/>
      </patternFill>
    </fill>
    <fill>
      <patternFill patternType="solid">
        <fgColor rgb="FFFCFCFC"/>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1"/>
      </left>
      <right style="thin">
        <color theme="1"/>
      </right>
      <top style="thin">
        <color theme="1"/>
      </top>
      <bottom style="medium">
        <color theme="1"/>
      </bottom>
      <diagonal/>
    </border>
    <border>
      <left style="thin">
        <color theme="1"/>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s>
  <cellStyleXfs count="2">
    <xf numFmtId="0" fontId="0" fillId="0" borderId="0"/>
    <xf numFmtId="0" fontId="5" fillId="0" borderId="0" applyNumberFormat="0" applyFill="0" applyBorder="0" applyAlignment="0" applyProtection="0"/>
  </cellStyleXfs>
  <cellXfs count="118">
    <xf numFmtId="0" fontId="0" fillId="0" borderId="0" xfId="0"/>
    <xf numFmtId="0" fontId="2" fillId="2" borderId="0" xfId="0" applyFont="1" applyFill="1" applyAlignment="1">
      <alignment vertical="center" wrapText="1"/>
    </xf>
    <xf numFmtId="0" fontId="3" fillId="3" borderId="0" xfId="0" applyFont="1" applyFill="1" applyAlignment="1">
      <alignment vertical="center" wrapText="1"/>
    </xf>
    <xf numFmtId="0" fontId="2" fillId="3" borderId="0" xfId="0" applyFont="1" applyFill="1" applyAlignment="1">
      <alignment vertical="center" wrapText="1"/>
    </xf>
    <xf numFmtId="0" fontId="3" fillId="4" borderId="0" xfId="0" applyFont="1" applyFill="1" applyAlignment="1">
      <alignment vertical="center" wrapText="1"/>
    </xf>
    <xf numFmtId="0" fontId="2" fillId="4" borderId="0" xfId="0" applyFont="1" applyFill="1" applyAlignment="1">
      <alignment vertical="center" wrapText="1"/>
    </xf>
    <xf numFmtId="0" fontId="3" fillId="3" borderId="0" xfId="0" applyFont="1" applyFill="1" applyAlignment="1">
      <alignment vertical="center"/>
    </xf>
    <xf numFmtId="0" fontId="0" fillId="0" borderId="0" xfId="0" applyAlignment="1">
      <alignment horizontal="center"/>
    </xf>
    <xf numFmtId="0" fontId="2" fillId="3" borderId="0" xfId="0" applyFont="1" applyFill="1" applyAlignment="1">
      <alignment vertical="center"/>
    </xf>
    <xf numFmtId="0" fontId="3" fillId="4" borderId="0" xfId="0" applyFont="1" applyFill="1" applyAlignment="1">
      <alignment vertical="center"/>
    </xf>
    <xf numFmtId="0" fontId="2" fillId="4" borderId="0" xfId="0" applyFont="1" applyFill="1" applyAlignment="1">
      <alignment vertical="center"/>
    </xf>
    <xf numFmtId="0" fontId="0" fillId="5" borderId="4" xfId="0" applyFill="1" applyBorder="1"/>
    <xf numFmtId="0" fontId="0" fillId="5" borderId="0" xfId="0" applyFill="1"/>
    <xf numFmtId="0" fontId="0" fillId="5" borderId="5" xfId="0" applyFill="1" applyBorder="1" applyAlignment="1">
      <alignment horizontal="center"/>
    </xf>
    <xf numFmtId="0" fontId="0" fillId="6" borderId="5" xfId="0" applyFill="1" applyBorder="1" applyAlignment="1">
      <alignment horizontal="center"/>
    </xf>
    <xf numFmtId="0" fontId="0" fillId="6" borderId="7" xfId="0" applyFill="1" applyBorder="1"/>
    <xf numFmtId="0" fontId="0" fillId="6" borderId="8" xfId="0" applyFill="1" applyBorder="1" applyAlignment="1">
      <alignment horizontal="center"/>
    </xf>
    <xf numFmtId="0" fontId="0" fillId="6" borderId="7" xfId="0" applyFill="1" applyBorder="1" applyAlignment="1">
      <alignment horizontal="left"/>
    </xf>
    <xf numFmtId="0" fontId="0" fillId="5" borderId="2" xfId="0" applyFill="1" applyBorder="1"/>
    <xf numFmtId="0" fontId="0" fillId="5" borderId="3" xfId="0" applyFill="1" applyBorder="1" applyAlignment="1">
      <alignment horizontal="center"/>
    </xf>
    <xf numFmtId="0" fontId="0" fillId="8" borderId="5" xfId="0" applyFill="1" applyBorder="1" applyAlignment="1">
      <alignment horizontal="center"/>
    </xf>
    <xf numFmtId="0" fontId="0" fillId="5" borderId="1" xfId="0" applyFill="1" applyBorder="1"/>
    <xf numFmtId="0" fontId="0" fillId="9" borderId="0" xfId="0" applyFill="1"/>
    <xf numFmtId="0" fontId="0" fillId="9" borderId="12" xfId="0" applyFill="1" applyBorder="1"/>
    <xf numFmtId="0" fontId="0" fillId="9" borderId="14" xfId="0" applyFill="1" applyBorder="1"/>
    <xf numFmtId="0" fontId="5" fillId="9" borderId="17" xfId="1" applyFill="1" applyBorder="1" applyAlignment="1">
      <alignment wrapText="1"/>
    </xf>
    <xf numFmtId="0" fontId="0" fillId="10" borderId="1" xfId="0" applyFill="1" applyBorder="1"/>
    <xf numFmtId="0" fontId="1" fillId="10" borderId="2" xfId="0" applyFont="1" applyFill="1" applyBorder="1"/>
    <xf numFmtId="0" fontId="1" fillId="10" borderId="3" xfId="0" applyFont="1" applyFill="1" applyBorder="1"/>
    <xf numFmtId="0" fontId="3" fillId="0" borderId="0" xfId="0" applyFont="1" applyAlignment="1">
      <alignment vertical="center"/>
    </xf>
    <xf numFmtId="0" fontId="2" fillId="0" borderId="0" xfId="0" applyFont="1" applyAlignment="1">
      <alignment vertical="center"/>
    </xf>
    <xf numFmtId="0" fontId="0" fillId="11" borderId="0" xfId="0" applyFill="1"/>
    <xf numFmtId="0" fontId="0" fillId="11" borderId="5" xfId="0" applyFill="1" applyBorder="1" applyAlignment="1">
      <alignment horizontal="center"/>
    </xf>
    <xf numFmtId="0" fontId="0" fillId="11" borderId="4" xfId="0" applyFill="1" applyBorder="1"/>
    <xf numFmtId="0" fontId="6" fillId="9" borderId="0" xfId="0" applyFont="1" applyFill="1" applyAlignment="1">
      <alignment horizontal="left"/>
    </xf>
    <xf numFmtId="0" fontId="5" fillId="9" borderId="0" xfId="1" applyFill="1" applyBorder="1" applyAlignment="1">
      <alignment wrapText="1"/>
    </xf>
    <xf numFmtId="0" fontId="0" fillId="5" borderId="6" xfId="0" applyFill="1" applyBorder="1"/>
    <xf numFmtId="0" fontId="0" fillId="5" borderId="7" xfId="0" applyFill="1" applyBorder="1"/>
    <xf numFmtId="0" fontId="0" fillId="5" borderId="8" xfId="0" applyFill="1" applyBorder="1" applyAlignment="1">
      <alignment horizontal="center"/>
    </xf>
    <xf numFmtId="0" fontId="8" fillId="9" borderId="14" xfId="0" applyFont="1" applyFill="1" applyBorder="1"/>
    <xf numFmtId="0" fontId="5" fillId="9" borderId="0" xfId="1" applyFill="1"/>
    <xf numFmtId="0" fontId="1" fillId="0" borderId="18" xfId="0" applyFont="1" applyBorder="1"/>
    <xf numFmtId="0" fontId="0" fillId="9" borderId="21" xfId="0" applyFill="1" applyBorder="1"/>
    <xf numFmtId="0" fontId="12" fillId="9" borderId="21" xfId="0" applyFont="1" applyFill="1" applyBorder="1"/>
    <xf numFmtId="0" fontId="0" fillId="9" borderId="22" xfId="0" applyFill="1" applyBorder="1"/>
    <xf numFmtId="0" fontId="0" fillId="9" borderId="23" xfId="0" applyFill="1" applyBorder="1"/>
    <xf numFmtId="0" fontId="0" fillId="9" borderId="20" xfId="0" applyFill="1" applyBorder="1"/>
    <xf numFmtId="0" fontId="0" fillId="5" borderId="0" xfId="0" applyFill="1" applyAlignment="1">
      <alignment horizontal="left"/>
    </xf>
    <xf numFmtId="0" fontId="0" fillId="11" borderId="0" xfId="0" applyFill="1" applyAlignment="1">
      <alignment horizontal="left"/>
    </xf>
    <xf numFmtId="49" fontId="0" fillId="0" borderId="0" xfId="0" applyNumberFormat="1" applyAlignment="1">
      <alignment horizontal="left"/>
    </xf>
    <xf numFmtId="0" fontId="1" fillId="0" borderId="18" xfId="0" applyFont="1" applyBorder="1" applyAlignment="1">
      <alignment horizontal="center"/>
    </xf>
    <xf numFmtId="0" fontId="0" fillId="12" borderId="19" xfId="0" applyFill="1" applyBorder="1" applyAlignment="1">
      <alignment horizontal="left"/>
    </xf>
    <xf numFmtId="0" fontId="1" fillId="12" borderId="19" xfId="0" applyFont="1" applyFill="1" applyBorder="1" applyAlignment="1">
      <alignment horizontal="center"/>
    </xf>
    <xf numFmtId="0" fontId="0" fillId="12" borderId="19" xfId="0" applyFill="1" applyBorder="1" applyAlignment="1">
      <alignment horizontal="center"/>
    </xf>
    <xf numFmtId="0" fontId="0" fillId="0" borderId="19" xfId="0" applyBorder="1" applyAlignment="1">
      <alignment horizontal="left"/>
    </xf>
    <xf numFmtId="0" fontId="1" fillId="0" borderId="19" xfId="0" applyFont="1" applyBorder="1" applyAlignment="1">
      <alignment horizontal="center"/>
    </xf>
    <xf numFmtId="0" fontId="0" fillId="0" borderId="19" xfId="0" applyBorder="1" applyAlignment="1">
      <alignment horizontal="center"/>
    </xf>
    <xf numFmtId="49" fontId="0" fillId="0" borderId="19" xfId="0" applyNumberFormat="1" applyBorder="1" applyAlignment="1">
      <alignment horizontal="left"/>
    </xf>
    <xf numFmtId="0" fontId="16" fillId="2" borderId="19" xfId="0" applyFont="1" applyFill="1" applyBorder="1" applyAlignment="1">
      <alignment horizontal="justify" vertical="center" wrapText="1"/>
    </xf>
    <xf numFmtId="0" fontId="15" fillId="13" borderId="19" xfId="0" applyFont="1" applyFill="1" applyBorder="1" applyAlignment="1">
      <alignment horizontal="justify" vertical="center" wrapText="1"/>
    </xf>
    <xf numFmtId="0" fontId="15" fillId="13" borderId="19" xfId="0" applyFont="1" applyFill="1" applyBorder="1" applyAlignment="1">
      <alignment horizontal="center" vertical="center" wrapText="1"/>
    </xf>
    <xf numFmtId="49" fontId="13" fillId="0" borderId="0" xfId="0" applyNumberFormat="1" applyFont="1"/>
    <xf numFmtId="49" fontId="14" fillId="0" borderId="0" xfId="0" applyNumberFormat="1" applyFont="1"/>
    <xf numFmtId="49" fontId="0" fillId="0" borderId="0" xfId="0" applyNumberFormat="1"/>
    <xf numFmtId="49" fontId="13" fillId="12" borderId="19" xfId="0" applyNumberFormat="1" applyFont="1" applyFill="1" applyBorder="1"/>
    <xf numFmtId="49" fontId="14" fillId="0" borderId="19" xfId="0" applyNumberFormat="1" applyFont="1" applyBorder="1"/>
    <xf numFmtId="49" fontId="1" fillId="0" borderId="0" xfId="0" applyNumberFormat="1" applyFont="1" applyAlignment="1">
      <alignment horizontal="center"/>
    </xf>
    <xf numFmtId="49" fontId="0" fillId="0" borderId="0" xfId="0" applyNumberFormat="1" applyAlignment="1">
      <alignment horizontal="center"/>
    </xf>
    <xf numFmtId="49" fontId="16" fillId="2" borderId="0" xfId="0" applyNumberFormat="1" applyFont="1" applyFill="1" applyAlignment="1">
      <alignment horizontal="justify" vertical="center" wrapText="1"/>
    </xf>
    <xf numFmtId="49" fontId="15" fillId="13" borderId="0" xfId="0" applyNumberFormat="1" applyFont="1" applyFill="1" applyAlignment="1">
      <alignment horizontal="justify" vertical="center" wrapText="1"/>
    </xf>
    <xf numFmtId="49" fontId="15" fillId="13" borderId="0" xfId="0" applyNumberFormat="1" applyFont="1" applyFill="1" applyAlignment="1">
      <alignment horizontal="center" vertical="center" wrapText="1"/>
    </xf>
    <xf numFmtId="0" fontId="0" fillId="5" borderId="0" xfId="0" applyFill="1" applyAlignment="1">
      <alignment horizontal="center"/>
    </xf>
    <xf numFmtId="0" fontId="0" fillId="11" borderId="0" xfId="0" applyFill="1" applyAlignment="1">
      <alignment horizontal="center"/>
    </xf>
    <xf numFmtId="0" fontId="0" fillId="7" borderId="4" xfId="0" applyFill="1" applyBorder="1"/>
    <xf numFmtId="0" fontId="0" fillId="5" borderId="2" xfId="0" applyFill="1" applyBorder="1" applyAlignment="1">
      <alignment horizontal="left"/>
    </xf>
    <xf numFmtId="0" fontId="0" fillId="5" borderId="2" xfId="0" applyFill="1" applyBorder="1" applyAlignment="1">
      <alignment horizontal="center"/>
    </xf>
    <xf numFmtId="0" fontId="0" fillId="11" borderId="7" xfId="0" applyFill="1" applyBorder="1"/>
    <xf numFmtId="0" fontId="0" fillId="11" borderId="7" xfId="0" applyFill="1" applyBorder="1" applyAlignment="1">
      <alignment horizontal="left"/>
    </xf>
    <xf numFmtId="0" fontId="0" fillId="11" borderId="7" xfId="0" applyFill="1" applyBorder="1" applyAlignment="1">
      <alignment horizontal="center"/>
    </xf>
    <xf numFmtId="0" fontId="0" fillId="8" borderId="2" xfId="0" applyFill="1" applyBorder="1"/>
    <xf numFmtId="0" fontId="0" fillId="8" borderId="3" xfId="0" applyFill="1" applyBorder="1" applyAlignment="1">
      <alignment horizontal="center"/>
    </xf>
    <xf numFmtId="0" fontId="0" fillId="6" borderId="0" xfId="0" applyFill="1"/>
    <xf numFmtId="0" fontId="0" fillId="8" borderId="0" xfId="0" applyFill="1"/>
    <xf numFmtId="0" fontId="0" fillId="8" borderId="0" xfId="0" applyFill="1" applyAlignment="1">
      <alignment horizontal="left"/>
    </xf>
    <xf numFmtId="0" fontId="0" fillId="6" borderId="0" xfId="0" applyFill="1" applyAlignment="1">
      <alignment horizontal="left"/>
    </xf>
    <xf numFmtId="0" fontId="1" fillId="10" borderId="0" xfId="0" applyFont="1" applyFill="1"/>
    <xf numFmtId="0" fontId="0" fillId="7" borderId="0" xfId="0" applyFill="1" applyAlignment="1">
      <alignment horizontal="center"/>
    </xf>
    <xf numFmtId="0" fontId="0" fillId="8" borderId="0" xfId="0" applyFill="1" applyAlignment="1">
      <alignment horizontal="center"/>
    </xf>
    <xf numFmtId="0" fontId="0" fillId="6" borderId="0" xfId="0" applyFill="1" applyAlignment="1">
      <alignment horizontal="center"/>
    </xf>
    <xf numFmtId="0" fontId="5" fillId="9" borderId="0" xfId="1" applyFill="1" applyAlignment="1">
      <alignment horizontal="center"/>
    </xf>
    <xf numFmtId="0" fontId="4" fillId="5" borderId="1"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1" xfId="0" applyFont="1" applyFill="1" applyBorder="1" applyAlignment="1">
      <alignment horizontal="center" vertical="center" textRotation="255" wrapText="1"/>
    </xf>
    <xf numFmtId="0" fontId="4" fillId="5" borderId="4" xfId="0" applyFont="1" applyFill="1" applyBorder="1" applyAlignment="1">
      <alignment horizontal="center" vertical="center" textRotation="255" wrapText="1"/>
    </xf>
    <xf numFmtId="0" fontId="4" fillId="8" borderId="22" xfId="0" applyFont="1" applyFill="1" applyBorder="1" applyAlignment="1">
      <alignment horizontal="center" vertical="center" textRotation="255" wrapText="1"/>
    </xf>
    <xf numFmtId="0" fontId="4" fillId="8" borderId="27" xfId="0" applyFont="1" applyFill="1" applyBorder="1" applyAlignment="1">
      <alignment horizontal="center" vertical="center" textRotation="255" wrapText="1"/>
    </xf>
    <xf numFmtId="0" fontId="4" fillId="8" borderId="23" xfId="0" applyFont="1" applyFill="1" applyBorder="1" applyAlignment="1">
      <alignment horizontal="center" vertical="center" textRotation="255" wrapText="1"/>
    </xf>
    <xf numFmtId="0" fontId="4" fillId="7" borderId="4" xfId="0" applyFont="1" applyFill="1" applyBorder="1" applyAlignment="1">
      <alignment horizontal="center" vertical="center" textRotation="255" wrapText="1"/>
    </xf>
    <xf numFmtId="0" fontId="4" fillId="7" borderId="6" xfId="0" applyFont="1" applyFill="1" applyBorder="1" applyAlignment="1">
      <alignment horizontal="center" vertical="center" textRotation="255" wrapText="1"/>
    </xf>
    <xf numFmtId="0" fontId="1" fillId="9" borderId="10" xfId="0" applyFont="1" applyFill="1" applyBorder="1" applyAlignment="1">
      <alignment horizontal="left"/>
    </xf>
    <xf numFmtId="0" fontId="1" fillId="9" borderId="11" xfId="0" applyFont="1" applyFill="1" applyBorder="1" applyAlignment="1">
      <alignment horizontal="left"/>
    </xf>
    <xf numFmtId="0" fontId="1" fillId="9" borderId="13" xfId="0" applyFont="1" applyFill="1" applyBorder="1" applyAlignment="1">
      <alignment horizontal="left"/>
    </xf>
    <xf numFmtId="0" fontId="1" fillId="9" borderId="9" xfId="0" applyFont="1" applyFill="1" applyBorder="1" applyAlignment="1">
      <alignment horizontal="left"/>
    </xf>
    <xf numFmtId="0" fontId="6" fillId="9" borderId="15" xfId="0" applyFont="1" applyFill="1" applyBorder="1" applyAlignment="1">
      <alignment horizontal="left"/>
    </xf>
    <xf numFmtId="0" fontId="6" fillId="9" borderId="16" xfId="0" applyFont="1" applyFill="1" applyBorder="1" applyAlignment="1">
      <alignment horizontal="left"/>
    </xf>
    <xf numFmtId="0" fontId="0" fillId="7" borderId="7" xfId="0" applyFill="1" applyBorder="1" applyAlignment="1">
      <alignment horizontal="center"/>
    </xf>
    <xf numFmtId="0" fontId="0" fillId="7" borderId="8" xfId="0" applyFill="1" applyBorder="1" applyAlignment="1">
      <alignment horizontal="center"/>
    </xf>
    <xf numFmtId="0" fontId="17" fillId="9" borderId="25" xfId="0" applyFont="1" applyFill="1" applyBorder="1" applyAlignment="1">
      <alignment horizontal="center"/>
    </xf>
    <xf numFmtId="0" fontId="17" fillId="9" borderId="24" xfId="0" applyFont="1" applyFill="1" applyBorder="1" applyAlignment="1">
      <alignment horizontal="center"/>
    </xf>
    <xf numFmtId="0" fontId="17" fillId="9" borderId="26" xfId="0" applyFont="1" applyFill="1" applyBorder="1" applyAlignment="1">
      <alignment horizontal="center"/>
    </xf>
    <xf numFmtId="0" fontId="0" fillId="9" borderId="2" xfId="0" applyFill="1" applyBorder="1" applyAlignment="1">
      <alignment horizontal="center" vertical="center" wrapText="1"/>
    </xf>
    <xf numFmtId="0" fontId="0" fillId="9" borderId="3" xfId="0" applyFill="1" applyBorder="1" applyAlignment="1">
      <alignment horizontal="center" vertical="center" wrapText="1"/>
    </xf>
    <xf numFmtId="0" fontId="0" fillId="9" borderId="0" xfId="0" applyFill="1" applyAlignment="1">
      <alignment horizontal="center" vertical="center" wrapText="1"/>
    </xf>
    <xf numFmtId="0" fontId="0" fillId="9" borderId="5" xfId="0" applyFill="1" applyBorder="1" applyAlignment="1">
      <alignment horizontal="center" vertical="center" wrapText="1"/>
    </xf>
    <xf numFmtId="0" fontId="0" fillId="9" borderId="7" xfId="0" applyFill="1" applyBorder="1" applyAlignment="1">
      <alignment horizontal="center" vertical="center" wrapText="1"/>
    </xf>
    <xf numFmtId="0" fontId="0" fillId="9" borderId="8" xfId="0" applyFill="1" applyBorder="1" applyAlignment="1">
      <alignment horizontal="center" vertical="center" wrapText="1"/>
    </xf>
    <xf numFmtId="0" fontId="1" fillId="0" borderId="0" xfId="0" applyNumberFormat="1" applyFont="1" applyAlignment="1">
      <alignment horizontal="center"/>
    </xf>
  </cellXfs>
  <cellStyles count="2">
    <cellStyle name="Hyperlink" xfId="1" builtinId="8"/>
    <cellStyle name="Normal" xfId="0" builtinId="0"/>
  </cellStyles>
  <dxfs count="22">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font>
        <sz val="8"/>
        <color rgb="FF4A4A4A"/>
        <name val="IRANSans"/>
        <scheme val="none"/>
      </font>
      <numFmt numFmtId="30" formatCode="@"/>
      <alignment horizontal="left"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9</xdr:row>
          <xdr:rowOff>0</xdr:rowOff>
        </xdr:from>
        <xdr:to>
          <xdr:col>9</xdr:col>
          <xdr:colOff>0</xdr:colOff>
          <xdr:row>11</xdr:row>
          <xdr:rowOff>7620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B2:I10" totalsRowShown="0">
  <autoFilter ref="B2:I10" xr:uid="{00000000-0009-0000-0100-000001000000}"/>
  <tableColumns count="8">
    <tableColumn id="1" xr3:uid="{00000000-0010-0000-0000-000001000000}" name="speaking" dataDxfId="21"/>
    <tableColumn id="2" xr3:uid="{00000000-0010-0000-0000-000002000000}" name="listening" dataDxfId="20"/>
    <tableColumn id="3" xr3:uid="{00000000-0010-0000-0000-000003000000}" name="reading" dataDxfId="19"/>
    <tableColumn id="4" xr3:uid="{00000000-0010-0000-0000-000004000000}" name="writing" dataDxfId="18"/>
    <tableColumn id="5" xr3:uid="{00000000-0010-0000-0000-000005000000}" name="clb" dataDxfId="17"/>
    <tableColumn id="6" xr3:uid="{00000000-0010-0000-0000-000006000000}" name="points 1°" dataDxfId="16"/>
    <tableColumn id="7" xr3:uid="{00000000-0010-0000-0000-000007000000}" name="points 2°" dataDxfId="15"/>
    <tableColumn id="8" xr3:uid="{05122999-4A2F-40B6-8084-609E525B571C}" name="points 3°" dataDxfId="14"/>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47EA02-ABCD-4F34-8773-D1DE37441591}" name="Tabela134" displayName="Tabela134" ref="B2:H10" totalsRowShown="0">
  <autoFilter ref="B2:H10" xr:uid="{00000000-0009-0000-0100-000001000000}"/>
  <tableColumns count="7">
    <tableColumn id="1" xr3:uid="{209B997C-B135-4B66-AB1B-F3A281BC7CBB}" name="speaking" dataDxfId="13"/>
    <tableColumn id="2" xr3:uid="{5778AD74-0F9E-45A4-89C1-7DBCCDF72C48}" name="listening" dataDxfId="12"/>
    <tableColumn id="3" xr3:uid="{8D0B6987-7EAD-4CCB-A6DA-95F77C093281}" name="reading" dataDxfId="11"/>
    <tableColumn id="4" xr3:uid="{7F14789E-0EB5-4B7F-BD82-A33651EF24CA}" name="writing" dataDxfId="10"/>
    <tableColumn id="5" xr3:uid="{1564CFBB-02C1-4D62-ADFB-157F6C60C58C}" name="clb" dataDxfId="9"/>
    <tableColumn id="6" xr3:uid="{F5A830A6-5701-46B3-9E68-A1AF14727EA8}" name="points 1°" dataDxfId="8"/>
    <tableColumn id="7" xr3:uid="{3CEE3759-6C67-4AA4-91ED-48040F839082}" name="points 2°" dataDxfId="7"/>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10DEB3-F88C-461D-A5F1-8E0C61287371}" name="Tabela1345" displayName="Tabela1345" ref="B2:H10" totalsRowShown="0">
  <autoFilter ref="B2:H10" xr:uid="{D610DEB3-F88C-461D-A5F1-8E0C61287371}"/>
  <tableColumns count="7">
    <tableColumn id="1" xr3:uid="{D13AB071-80F7-4FAF-9D87-D70BCA03C7BF}" name="speaking" dataDxfId="6"/>
    <tableColumn id="2" xr3:uid="{A6919FAC-A586-4BD8-A8D3-7CB1BE56C6E2}" name="listening" dataDxfId="5"/>
    <tableColumn id="3" xr3:uid="{DCF89974-B064-4C60-AA7D-65914B3BC4AD}" name="reading" dataDxfId="4"/>
    <tableColumn id="4" xr3:uid="{84EF0743-B793-480A-B90F-9DD46861C9FB}" name="writing" dataDxfId="3"/>
    <tableColumn id="5" xr3:uid="{11B4BA31-666A-4794-B2F3-588D8F4E36E0}" name="clb" dataDxfId="2"/>
    <tableColumn id="6" xr3:uid="{F74CC7D7-BA27-49D1-AA7C-B594A3EB7DF9}" name="points 1°" dataDxfId="1"/>
    <tableColumn id="7" xr3:uid="{9F7B2124-7902-4FD7-A207-06ADA1F8ABE1}" name="points 2°" dataDxfId="0"/>
  </tableColumns>
  <tableStyleInfo name="TableStyleLight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cic.gc.ca/english/immigrate/skilled/crs-tool.asp" TargetMode="External"/><Relationship Id="rId7" Type="http://schemas.openxmlformats.org/officeDocument/2006/relationships/ctrlProp" Target="../ctrlProps/ctrlProp1.xml"/><Relationship Id="rId2" Type="http://schemas.openxmlformats.org/officeDocument/2006/relationships/hyperlink" Target="http://noc.esdc.gc.ca/English/NOC/SearchIndex.aspx?ver=16" TargetMode="External"/><Relationship Id="rId1" Type="http://schemas.openxmlformats.org/officeDocument/2006/relationships/hyperlink" Target="https://www.canada.ca/en/immigration-refugees-citizenship/services/immigrate-canada/express-entry/submit-profile/rounds-invitations.htm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G60"/>
  <sheetViews>
    <sheetView tabSelected="1" zoomScale="110" zoomScaleNormal="110" workbookViewId="0">
      <selection activeCell="K14" sqref="K14"/>
    </sheetView>
  </sheetViews>
  <sheetFormatPr defaultRowHeight="14.4"/>
  <cols>
    <col min="1" max="1" width="4.44140625" customWidth="1"/>
    <col min="2" max="2" width="8.109375" customWidth="1"/>
    <col min="3" max="3" width="29.5546875" bestFit="1" customWidth="1"/>
    <col min="4" max="4" width="53.33203125" customWidth="1"/>
    <col min="6" max="6" width="3.5546875" hidden="1" customWidth="1"/>
    <col min="7" max="7" width="6.6640625" customWidth="1"/>
    <col min="10" max="10" width="17.5546875" customWidth="1"/>
    <col min="11" max="11" width="3.5546875" customWidth="1"/>
    <col min="12" max="12" width="22.5546875" bestFit="1" customWidth="1"/>
    <col min="14" max="14" width="3" hidden="1" customWidth="1"/>
  </cols>
  <sheetData>
    <row r="1" spans="1:33">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row>
    <row r="2" spans="1:33" ht="15" thickBot="1">
      <c r="A2" s="22"/>
      <c r="B2" s="22"/>
      <c r="C2" s="22"/>
      <c r="D2" s="22"/>
      <c r="E2" s="22"/>
      <c r="F2" s="22"/>
      <c r="G2" s="22"/>
      <c r="H2" s="22"/>
      <c r="I2" s="22"/>
      <c r="J2" s="22"/>
      <c r="K2" s="22"/>
      <c r="M2" s="22"/>
      <c r="N2" s="22"/>
      <c r="O2" s="22"/>
      <c r="P2" s="22"/>
      <c r="Q2" s="22"/>
      <c r="R2" s="22"/>
      <c r="S2" s="22"/>
      <c r="T2" s="22"/>
      <c r="U2" s="22"/>
      <c r="V2" s="22"/>
      <c r="W2" s="22"/>
      <c r="X2" s="22"/>
      <c r="Y2" s="22"/>
      <c r="Z2" s="22"/>
      <c r="AA2" s="22"/>
      <c r="AB2" s="22"/>
      <c r="AC2" s="22"/>
      <c r="AD2" s="22"/>
      <c r="AE2" s="22"/>
      <c r="AF2" s="22"/>
      <c r="AG2" s="22"/>
    </row>
    <row r="3" spans="1:33" ht="15" thickBot="1">
      <c r="A3" s="22"/>
      <c r="B3" s="26"/>
      <c r="C3" s="27" t="s">
        <v>91</v>
      </c>
      <c r="D3" s="27" t="s">
        <v>90</v>
      </c>
      <c r="E3" s="28" t="s">
        <v>1</v>
      </c>
      <c r="F3" s="85"/>
      <c r="G3" s="22"/>
      <c r="H3" s="22"/>
      <c r="I3" s="22"/>
      <c r="J3" s="22"/>
      <c r="K3" s="22"/>
      <c r="L3" s="22"/>
      <c r="M3" s="22"/>
      <c r="N3" s="22"/>
      <c r="O3" s="22"/>
      <c r="P3" s="22"/>
      <c r="Q3" s="22"/>
      <c r="R3" s="22"/>
      <c r="S3" s="22"/>
      <c r="T3" s="22"/>
      <c r="U3" s="22"/>
      <c r="V3" s="22"/>
      <c r="W3" s="22"/>
      <c r="X3" s="22"/>
      <c r="Y3" s="22"/>
      <c r="Z3" s="22"/>
      <c r="AA3" s="22"/>
      <c r="AB3" s="22"/>
    </row>
    <row r="4" spans="1:33" ht="16.2" thickBot="1">
      <c r="A4" s="22"/>
      <c r="B4" s="93" t="s">
        <v>86</v>
      </c>
      <c r="C4" s="18" t="s">
        <v>0</v>
      </c>
      <c r="D4" s="18" t="s">
        <v>9</v>
      </c>
      <c r="E4" s="19">
        <f ca="1">OFFSET(Points1,MATCH(D4,Idade1,0),0,1,1)</f>
        <v>75</v>
      </c>
      <c r="F4" s="71"/>
      <c r="G4" s="22"/>
      <c r="H4" s="100" t="s">
        <v>95</v>
      </c>
      <c r="I4" s="101"/>
      <c r="J4" s="23">
        <f ca="1">SUM(E4:E12,E18:E26)+IF(SUM(E13:E16)&gt;22,22,SUM(E13:E16))</f>
        <v>562</v>
      </c>
      <c r="K4" s="22"/>
      <c r="L4" s="42" t="s">
        <v>122</v>
      </c>
      <c r="M4" s="44" t="s">
        <v>127</v>
      </c>
      <c r="N4" s="22">
        <f>IF(M4="IELTS",1,IF(M4="CELPIP",2,3))</f>
        <v>2</v>
      </c>
      <c r="O4" s="22"/>
      <c r="P4" s="22"/>
      <c r="Q4" s="22"/>
      <c r="R4" s="22"/>
      <c r="S4" s="22"/>
      <c r="T4" s="22"/>
      <c r="U4" s="22"/>
      <c r="V4" s="22"/>
      <c r="W4" s="22"/>
      <c r="X4" s="22"/>
      <c r="Y4" s="22"/>
      <c r="Z4" s="22"/>
      <c r="AA4" s="22"/>
      <c r="AB4" s="22"/>
      <c r="AC4" s="22"/>
    </row>
    <row r="5" spans="1:33" ht="16.2" thickBot="1">
      <c r="A5" s="22"/>
      <c r="B5" s="94"/>
      <c r="C5" s="31" t="s">
        <v>63</v>
      </c>
      <c r="D5" s="31" t="s">
        <v>27</v>
      </c>
      <c r="E5" s="32">
        <f ca="1">OFFSET(Points2,MATCH(D5,Edulvl1,0),0,1,1)</f>
        <v>119</v>
      </c>
      <c r="F5" s="72"/>
      <c r="G5" s="22"/>
      <c r="H5" s="102" t="s">
        <v>96</v>
      </c>
      <c r="I5" s="103"/>
      <c r="J5" s="24">
        <f ca="1">SUM(E27:E32)</f>
        <v>21</v>
      </c>
      <c r="K5" s="22"/>
      <c r="L5" s="42" t="s">
        <v>123</v>
      </c>
      <c r="M5" s="46" t="s">
        <v>128</v>
      </c>
      <c r="N5" s="22">
        <f>IF(M5="IELTS",1,IF(M5="CELPIP",2,IF(M5="TEF",3,0)))</f>
        <v>3</v>
      </c>
      <c r="O5" s="22"/>
      <c r="P5" s="22"/>
      <c r="Q5" s="22"/>
      <c r="R5" s="22"/>
      <c r="S5" s="22"/>
      <c r="T5" s="22"/>
      <c r="U5" s="22"/>
      <c r="V5" s="22"/>
      <c r="W5" s="22"/>
      <c r="X5" s="22"/>
      <c r="Y5" s="22"/>
      <c r="Z5" s="22"/>
      <c r="AA5" s="22"/>
      <c r="AB5" s="22"/>
      <c r="AC5" s="22"/>
    </row>
    <row r="6" spans="1:33" ht="16.2" thickBot="1">
      <c r="A6" s="22"/>
      <c r="B6" s="94"/>
      <c r="C6" s="12" t="s">
        <v>118</v>
      </c>
      <c r="D6" s="47" t="s">
        <v>155</v>
      </c>
      <c r="E6" s="13">
        <f ca="1">IF(N4=1,OFFSET(LangPt1,MATCH(D6,Speaking,0),0,1,1),IF(N4=2,OFFSET(LangPt1,MATCH(D6,CSpeaking,0),0,1,1),IF(N4=3,OFFSET(LangPt1,MATCH(D6,TSpeaking,0),0,1,1),"")))</f>
        <v>32</v>
      </c>
      <c r="F6" s="13" cm="1">
        <f t="array" aca="1" ref="F6" ca="1">IF(N4=1,OFFSET(CLB,MATCH(D6,Speaking,0),0,1,1),IF(N4=2,OFFSET(CLB,MATCH(D6,CSpeaking,0),0,1,1),IF(N4=3,OFFSET(CLB,MATCH(D6,TSpeaking,0),0,1,1),"")))</f>
        <v>10</v>
      </c>
      <c r="G6" s="22"/>
      <c r="H6" s="102" t="s">
        <v>89</v>
      </c>
      <c r="I6" s="103"/>
      <c r="J6" s="39">
        <f ca="1">SUM(J4:J5)</f>
        <v>583</v>
      </c>
      <c r="K6" s="22"/>
      <c r="L6" s="43" t="s">
        <v>124</v>
      </c>
      <c r="M6" s="45" t="s">
        <v>127</v>
      </c>
      <c r="N6" s="22">
        <f t="shared" ref="N6" si="0">IF(M6="IELTS",1,IF(M6="CELPIP",2,3))</f>
        <v>2</v>
      </c>
      <c r="O6" s="22"/>
      <c r="P6" s="22"/>
      <c r="Q6" s="22"/>
      <c r="R6" s="22"/>
      <c r="S6" s="22"/>
      <c r="T6" s="22"/>
      <c r="U6" s="22"/>
      <c r="V6" s="22"/>
      <c r="W6" s="22"/>
      <c r="X6" s="22"/>
      <c r="Y6" s="22"/>
      <c r="Z6" s="22"/>
      <c r="AA6" s="22"/>
      <c r="AB6" s="22"/>
      <c r="AC6" s="22"/>
    </row>
    <row r="7" spans="1:33" ht="15.75" customHeight="1" thickBot="1">
      <c r="A7" s="22"/>
      <c r="B7" s="94"/>
      <c r="C7" s="31" t="s">
        <v>119</v>
      </c>
      <c r="D7" s="48" t="s">
        <v>155</v>
      </c>
      <c r="E7" s="32">
        <f ca="1">IF($N$4=1,OFFSET(LangPt1,MATCH($D$7,Listening,0),0,1,1),IF($N$4=2,OFFSET(LangPt1,MATCH($D$7,CListening,0),0,1,1),IF($N$4=3,OFFSET(LangPt1,MATCH($D$7,TListening,0),0,1,1),"")))</f>
        <v>32</v>
      </c>
      <c r="F7" s="32">
        <f ca="1">IF($N$4=1,OFFSET(CLB,MATCH($D$7,Listening,0),0,1,1),IF($N$4=2,OFFSET(CLB,MATCH($D$7,CListening,0),0,1,1),IF($N$4=3,OFFSET(CLB,MATCH($D$7,TListening,0),0,1,1),"")))</f>
        <v>10</v>
      </c>
      <c r="G7" s="22"/>
      <c r="H7" s="104" t="s">
        <v>92</v>
      </c>
      <c r="I7" s="105"/>
      <c r="J7" s="25" t="s">
        <v>93</v>
      </c>
      <c r="K7" s="22"/>
      <c r="L7" s="22"/>
      <c r="M7" s="22"/>
      <c r="N7" s="22"/>
      <c r="O7" s="22"/>
      <c r="P7" s="22"/>
      <c r="Q7" s="22"/>
      <c r="R7" s="22"/>
      <c r="S7" s="22"/>
      <c r="T7" s="22"/>
      <c r="U7" s="22"/>
      <c r="V7" s="22"/>
      <c r="W7" s="22"/>
      <c r="X7" s="22"/>
      <c r="Y7" s="22"/>
      <c r="Z7" s="22"/>
      <c r="AA7" s="22"/>
      <c r="AB7" s="22"/>
      <c r="AC7" s="22"/>
    </row>
    <row r="8" spans="1:33" ht="15.75" customHeight="1">
      <c r="A8" s="22"/>
      <c r="B8" s="94"/>
      <c r="C8" s="12" t="s">
        <v>120</v>
      </c>
      <c r="D8" s="47" t="s">
        <v>155</v>
      </c>
      <c r="E8" s="13">
        <f ca="1">IF($N4=1,OFFSET(LangPt1,MATCH($D8,Reading,0),0,1,1),IF($N4=2,OFFSET(LangPt1,MATCH($D8,CReading,0),0,1,1),IF($N4=3,OFFSET(LangPt1,MATCH($D8,TReading,0),0,1,1),"")))</f>
        <v>32</v>
      </c>
      <c r="F8" s="13">
        <f ca="1">IF($N4=1,OFFSET(CLB,MATCH($D8,Reading,0),0,1,1),IF($N4=2,OFFSET(CLB,MATCH($D8,CReading,0),0,1,1),IF($N4=3,OFFSET(CLB,MATCH($D8,TReading,0),0,1,1),"")))</f>
        <v>10</v>
      </c>
      <c r="G8" s="22"/>
      <c r="H8" s="34"/>
      <c r="I8" s="34"/>
      <c r="J8" s="35"/>
      <c r="K8" s="22"/>
      <c r="L8" s="22"/>
      <c r="M8" s="22"/>
      <c r="N8" s="22"/>
      <c r="O8" s="22"/>
      <c r="P8" s="22"/>
      <c r="Q8" s="22"/>
      <c r="R8" s="22"/>
      <c r="S8" s="22"/>
      <c r="T8" s="22"/>
      <c r="U8" s="22"/>
      <c r="V8" s="22"/>
      <c r="W8" s="22"/>
      <c r="X8" s="22"/>
      <c r="Y8" s="22"/>
      <c r="Z8" s="22"/>
      <c r="AA8" s="22"/>
      <c r="AB8" s="22"/>
      <c r="AC8" s="22"/>
    </row>
    <row r="9" spans="1:33">
      <c r="A9" s="22"/>
      <c r="B9" s="94"/>
      <c r="C9" s="31" t="s">
        <v>121</v>
      </c>
      <c r="D9" s="48" t="s">
        <v>155</v>
      </c>
      <c r="E9" s="32">
        <f ca="1">IF($N4=1,OFFSET(LangPt1,MATCH($D9,Writing,0),0,1,1),IF($N4=2,OFFSET(LangPt1,MATCH($D9,CWriting,0),0,1,1),IF($N4=3,OFFSET(LangPt1,MATCH($D9,TWriting,0),0,1,1),"")))</f>
        <v>32</v>
      </c>
      <c r="F9" s="32">
        <f ca="1">IF($N4=1,OFFSET(CLB,MATCH($D9,Writing,0),0,1,1),IF($N4=2,OFFSET(CLB,MATCH($D9,CWriting,0),0,1,1),IF($N4=3,OFFSET(CLB,MATCH($D9,TWriting,0),0,1,1),"")))</f>
        <v>10</v>
      </c>
      <c r="G9" s="22"/>
      <c r="H9" s="22"/>
      <c r="I9" s="22"/>
      <c r="J9" s="22"/>
      <c r="K9" s="22"/>
      <c r="L9" s="22"/>
      <c r="M9" s="22"/>
      <c r="N9" s="22"/>
      <c r="O9" s="22"/>
      <c r="P9" s="22"/>
      <c r="Q9" s="22"/>
      <c r="R9" s="22"/>
      <c r="S9" s="22"/>
      <c r="T9" s="22"/>
      <c r="U9" s="22"/>
      <c r="V9" s="22"/>
      <c r="W9" s="22"/>
      <c r="X9" s="22"/>
      <c r="Y9" s="22"/>
      <c r="Z9" s="22"/>
      <c r="AA9" s="22"/>
    </row>
    <row r="10" spans="1:33">
      <c r="A10" s="22"/>
      <c r="B10" s="94"/>
      <c r="C10" s="12" t="s">
        <v>65</v>
      </c>
      <c r="D10" s="12" t="s">
        <v>39</v>
      </c>
      <c r="E10" s="13">
        <f ca="1">IF(Extras!C14=0,0,IF(AND(Extras!C14=1,Extras!C13=0),OFFSET(Points6,MATCH(D10,Work1,0),0,1,1),OFFSET(Points6a,MATCH(D10,Work1a,0),0,1,1)))</f>
        <v>25</v>
      </c>
      <c r="F10" s="71"/>
      <c r="G10" s="22"/>
      <c r="H10" s="22"/>
      <c r="I10" s="22"/>
      <c r="J10" s="22"/>
      <c r="K10" s="22"/>
      <c r="L10" s="22"/>
      <c r="M10" s="40"/>
      <c r="N10" s="22"/>
      <c r="O10" s="22"/>
      <c r="P10" s="22"/>
      <c r="Q10" s="22"/>
      <c r="R10" s="22"/>
      <c r="S10" s="22"/>
      <c r="T10" s="22"/>
      <c r="U10" s="22"/>
      <c r="V10" s="22"/>
      <c r="W10" s="22"/>
      <c r="X10" s="22"/>
      <c r="Y10" s="22"/>
      <c r="Z10" s="22"/>
      <c r="AA10" s="22"/>
    </row>
    <row r="11" spans="1:33">
      <c r="A11" s="22"/>
      <c r="B11" s="94"/>
      <c r="C11" s="31" t="s">
        <v>64</v>
      </c>
      <c r="D11" s="31" t="s">
        <v>31</v>
      </c>
      <c r="E11" s="32">
        <f ca="1">OFFSET(Points4,MATCH(D11,CANW1,0),0,1,1)</f>
        <v>35</v>
      </c>
      <c r="F11" s="72"/>
      <c r="G11" s="22"/>
      <c r="H11" s="22"/>
      <c r="I11" s="22"/>
      <c r="J11" s="22"/>
      <c r="K11" s="22"/>
      <c r="L11" s="22"/>
      <c r="M11" s="40"/>
      <c r="N11" s="22"/>
      <c r="O11" s="22"/>
      <c r="P11" s="22"/>
      <c r="Q11" s="22"/>
      <c r="R11" s="22"/>
      <c r="S11" s="22"/>
      <c r="T11" s="22"/>
      <c r="U11" s="22"/>
      <c r="V11" s="22"/>
      <c r="W11" s="22"/>
      <c r="X11" s="22"/>
      <c r="Y11" s="22"/>
      <c r="Z11" s="22"/>
      <c r="AA11" s="22"/>
    </row>
    <row r="12" spans="1:33" ht="15" thickBot="1">
      <c r="A12" s="22"/>
      <c r="B12" s="94"/>
      <c r="C12" s="12" t="s">
        <v>107</v>
      </c>
      <c r="D12" s="12" t="s">
        <v>99</v>
      </c>
      <c r="E12" s="13">
        <f ca="1">OFFSET(Points7,MATCH(D12,CANSt,0),0,1,1)</f>
        <v>15</v>
      </c>
      <c r="F12" s="71"/>
      <c r="G12" s="22"/>
      <c r="H12" s="22"/>
      <c r="I12" s="22"/>
      <c r="J12" s="22"/>
      <c r="K12" s="22"/>
      <c r="L12" s="22"/>
      <c r="M12" s="22"/>
      <c r="N12" s="22"/>
      <c r="O12" s="22"/>
      <c r="P12" s="22"/>
      <c r="Q12" s="22"/>
      <c r="R12" s="22"/>
      <c r="S12" s="22"/>
      <c r="T12" s="22"/>
      <c r="U12" s="22"/>
      <c r="V12" s="22"/>
      <c r="W12" s="22"/>
      <c r="X12" s="22"/>
      <c r="Y12" s="22"/>
      <c r="Z12" s="22"/>
      <c r="AA12" s="22"/>
    </row>
    <row r="13" spans="1:33" ht="14.4" customHeight="1">
      <c r="A13" s="22"/>
      <c r="B13" s="90" t="s">
        <v>130</v>
      </c>
      <c r="C13" s="18" t="s">
        <v>118</v>
      </c>
      <c r="D13" s="74" t="s">
        <v>136</v>
      </c>
      <c r="E13" s="75" cm="1">
        <f t="array" aca="1" ref="E13" ca="1">IF(N5=1,OFFSET(LangPt3,MATCH(D13,Speaking,0),0,1,1),IF(N5=2,OFFSET(LangPt3,MATCH(D13,CSpeaking,0),0,1,1),IF(N5=3,OFFSET(LangPt3,MATCH(D13,TSpeaking,0),0,1,1),"")))</f>
        <v>3</v>
      </c>
      <c r="F13" s="75"/>
      <c r="G13" s="108" t="s">
        <v>157</v>
      </c>
      <c r="H13" s="111" t="s">
        <v>158</v>
      </c>
      <c r="I13" s="112"/>
      <c r="J13" s="22"/>
      <c r="K13" s="22"/>
      <c r="L13" s="22"/>
      <c r="M13" s="22"/>
      <c r="N13" s="22"/>
      <c r="O13" s="22"/>
      <c r="P13" s="22"/>
      <c r="Q13" s="22"/>
      <c r="R13" s="22"/>
      <c r="S13" s="22"/>
      <c r="T13" s="22"/>
      <c r="U13" s="22"/>
      <c r="V13" s="22"/>
      <c r="W13" s="22"/>
      <c r="X13" s="22"/>
      <c r="Y13" s="22"/>
      <c r="Z13" s="22"/>
      <c r="AA13" s="22"/>
    </row>
    <row r="14" spans="1:33">
      <c r="A14" s="22"/>
      <c r="B14" s="91"/>
      <c r="C14" s="31" t="s">
        <v>119</v>
      </c>
      <c r="D14" s="48" t="s">
        <v>143</v>
      </c>
      <c r="E14" s="72" cm="1">
        <f t="array" aca="1" ref="E14" ca="1">IF(N5=1,OFFSET(LangPt3,MATCH(D14,Listening,0),0,1,1),IF(N5=2,OFFSET(LangPt3,MATCH(D14,CListening,0),0,1,1),IF(N5=3,OFFSET(LangPt3,MATCH(D14,TListening,0),0,1,1),"")))</f>
        <v>3</v>
      </c>
      <c r="F14" s="72"/>
      <c r="G14" s="109"/>
      <c r="H14" s="113"/>
      <c r="I14" s="114"/>
      <c r="K14" s="22"/>
      <c r="L14" s="22"/>
      <c r="M14" s="22"/>
      <c r="N14" s="22"/>
      <c r="O14" s="22"/>
      <c r="P14" s="22"/>
      <c r="Q14" s="22"/>
      <c r="R14" s="22"/>
      <c r="S14" s="22"/>
      <c r="T14" s="22"/>
      <c r="U14" s="22"/>
      <c r="V14" s="22"/>
      <c r="W14" s="22"/>
      <c r="X14" s="22"/>
      <c r="Y14" s="22"/>
      <c r="Z14" s="22"/>
      <c r="AA14" s="22"/>
    </row>
    <row r="15" spans="1:33">
      <c r="A15" s="22"/>
      <c r="B15" s="91"/>
      <c r="C15" s="12" t="s">
        <v>120</v>
      </c>
      <c r="D15" s="47" t="s">
        <v>144</v>
      </c>
      <c r="E15" s="71" cm="1">
        <f t="array" aca="1" ref="E15" ca="1">IF(N5=1,OFFSET(LangPt3,MATCH(D15,Reading,0),0,1,1),IF(N5=2,OFFSET(LangPt3,MATCH(D15,CReading,0),0,1,1),IF(N5=3,OFFSET(LangPt3,MATCH(D15,TReading,0),0,1,1),"")))</f>
        <v>3</v>
      </c>
      <c r="F15" s="71"/>
      <c r="G15" s="109"/>
      <c r="H15" s="113"/>
      <c r="I15" s="114"/>
      <c r="J15" s="22"/>
      <c r="K15" s="22"/>
      <c r="L15" s="22"/>
      <c r="M15" s="22"/>
      <c r="N15" s="22"/>
      <c r="O15" s="22"/>
      <c r="P15" s="22"/>
      <c r="Q15" s="22"/>
      <c r="R15" s="22"/>
      <c r="S15" s="22"/>
      <c r="T15" s="22"/>
      <c r="U15" s="22"/>
      <c r="V15" s="22"/>
      <c r="W15" s="22"/>
      <c r="X15" s="22"/>
      <c r="Y15" s="22"/>
      <c r="Z15" s="22"/>
      <c r="AA15" s="22"/>
    </row>
    <row r="16" spans="1:33" ht="15" thickBot="1">
      <c r="A16" s="22"/>
      <c r="B16" s="92"/>
      <c r="C16" s="76" t="s">
        <v>121</v>
      </c>
      <c r="D16" s="77" t="s">
        <v>136</v>
      </c>
      <c r="E16" s="78" cm="1">
        <f t="array" aca="1" ref="E16" ca="1">IF(N5=1,OFFSET(LangPt3,MATCH(D16,Writing,0),0,1,1),IF(N5=2,OFFSET(LangPt3,MATCH(D16,CWriting,0),0,1,1),IF(N5=3,OFFSET(LangPt3,MATCH(D16,TWriting,0),0,1,1),"")))</f>
        <v>3</v>
      </c>
      <c r="F16" s="78"/>
      <c r="G16" s="110"/>
      <c r="H16" s="115"/>
      <c r="I16" s="116"/>
      <c r="J16" s="22"/>
      <c r="K16" s="22"/>
      <c r="L16" s="22"/>
      <c r="M16" s="22"/>
      <c r="N16" s="22"/>
      <c r="O16" s="22"/>
      <c r="P16" s="22"/>
      <c r="Q16" s="22"/>
      <c r="R16" s="22"/>
      <c r="S16" s="22"/>
      <c r="T16" s="22"/>
      <c r="U16" s="22"/>
      <c r="V16" s="22"/>
      <c r="W16" s="22"/>
      <c r="X16" s="22"/>
      <c r="Y16" s="22"/>
      <c r="Z16" s="22"/>
      <c r="AA16" s="22"/>
    </row>
    <row r="17" spans="1:27" ht="3" customHeight="1" thickBot="1">
      <c r="A17" s="22"/>
      <c r="B17" s="73"/>
      <c r="C17" s="106"/>
      <c r="D17" s="106"/>
      <c r="E17" s="107"/>
      <c r="F17" s="86"/>
      <c r="G17" s="22"/>
      <c r="H17" s="22"/>
      <c r="I17" s="22"/>
      <c r="J17" s="22"/>
      <c r="K17" s="22"/>
      <c r="L17" s="22"/>
      <c r="M17" s="22"/>
      <c r="N17" s="22"/>
      <c r="O17" s="22"/>
      <c r="P17" s="22"/>
      <c r="Q17" s="22"/>
      <c r="R17" s="22"/>
      <c r="S17" s="22"/>
      <c r="T17" s="22"/>
      <c r="U17" s="22"/>
      <c r="V17" s="22"/>
      <c r="W17" s="22"/>
      <c r="X17" s="22"/>
      <c r="Y17" s="22"/>
      <c r="Z17" s="22"/>
      <c r="AA17" s="22"/>
    </row>
    <row r="18" spans="1:27">
      <c r="A18" s="22"/>
      <c r="B18" s="98" t="s">
        <v>88</v>
      </c>
      <c r="C18" s="21" t="s">
        <v>159</v>
      </c>
      <c r="D18" s="12"/>
      <c r="E18" s="19">
        <f ca="1">Extras!C18</f>
        <v>25</v>
      </c>
      <c r="F18" s="71"/>
      <c r="G18" s="22"/>
      <c r="H18" s="22"/>
      <c r="I18" s="22"/>
      <c r="J18" s="22"/>
      <c r="K18" s="22"/>
      <c r="L18" s="22"/>
      <c r="M18" s="22"/>
      <c r="N18" s="22"/>
      <c r="O18" s="22"/>
      <c r="P18" s="22"/>
      <c r="Q18" s="22"/>
      <c r="R18" s="22"/>
      <c r="S18" s="22"/>
      <c r="T18" s="22"/>
      <c r="U18" s="22"/>
      <c r="V18" s="22"/>
      <c r="W18" s="22"/>
      <c r="X18" s="22"/>
      <c r="Y18" s="22"/>
      <c r="Z18" s="22"/>
      <c r="AA18" s="22"/>
    </row>
    <row r="19" spans="1:27" ht="15" thickBot="1">
      <c r="A19" s="22"/>
      <c r="B19" s="98"/>
      <c r="C19" s="33" t="s">
        <v>165</v>
      </c>
      <c r="D19" s="31"/>
      <c r="E19" s="32">
        <f ca="1">Extras!C19</f>
        <v>25</v>
      </c>
      <c r="F19" s="72"/>
      <c r="G19" s="22"/>
      <c r="H19" s="22"/>
      <c r="I19" s="22"/>
      <c r="J19" s="22"/>
      <c r="K19" s="22"/>
      <c r="L19" s="22"/>
      <c r="M19" s="22"/>
      <c r="N19" s="22"/>
      <c r="O19" s="22"/>
      <c r="P19" s="22"/>
      <c r="Q19" s="22"/>
      <c r="R19" s="22"/>
      <c r="S19" s="22"/>
      <c r="T19" s="22"/>
      <c r="U19" s="22"/>
      <c r="V19" s="22"/>
      <c r="W19" s="22"/>
      <c r="X19" s="22"/>
      <c r="Y19" s="22"/>
      <c r="Z19" s="22"/>
      <c r="AA19" s="22"/>
    </row>
    <row r="20" spans="1:27">
      <c r="A20" s="22"/>
      <c r="B20" s="98"/>
      <c r="C20" s="21" t="s">
        <v>160</v>
      </c>
      <c r="D20" s="18" t="s">
        <v>70</v>
      </c>
      <c r="E20" s="19">
        <f ca="1">IF(AND(Extras!C14=1,Extras!C13=0),OFFSET(PointsEx1,MATCH(D20,Extra1,0),0,1,1),IF(AND(Extras!C14=1,Extras!C13=1),OFFSET(PointsEx1a,MATCH(D20,Extra1a,0),0,1,1),0))</f>
        <v>50</v>
      </c>
      <c r="F20" s="71"/>
      <c r="G20" s="22"/>
      <c r="H20" s="89" t="s">
        <v>111</v>
      </c>
      <c r="I20" s="89"/>
      <c r="J20" s="89"/>
      <c r="K20" s="89"/>
      <c r="L20" s="89"/>
      <c r="M20" s="22"/>
      <c r="N20" s="22"/>
      <c r="O20" s="22"/>
      <c r="P20" s="22"/>
      <c r="Q20" s="22"/>
      <c r="R20" s="22"/>
      <c r="S20" s="22"/>
      <c r="T20" s="22"/>
      <c r="U20" s="22"/>
      <c r="V20" s="22"/>
      <c r="W20" s="22"/>
      <c r="X20" s="22"/>
      <c r="Y20" s="22"/>
      <c r="Z20" s="22"/>
      <c r="AA20" s="22"/>
    </row>
    <row r="21" spans="1:27">
      <c r="A21" s="22"/>
      <c r="B21" s="98"/>
      <c r="C21" s="33" t="s">
        <v>66</v>
      </c>
      <c r="D21" s="31" t="s">
        <v>74</v>
      </c>
      <c r="E21" s="32">
        <f ca="1">IF(Extras!C15=1,OFFSET(PointsEx2,MATCH(D21,Extra2,0),0,1,1),IF(Extras!C15=2,OFFSET(PointsEx2a,MATCH(D21,Extra2a,0),0,1,1),0))</f>
        <v>25</v>
      </c>
      <c r="F21" s="72"/>
      <c r="G21" s="22"/>
      <c r="H21" s="89" t="s">
        <v>112</v>
      </c>
      <c r="I21" s="89"/>
      <c r="J21" s="89"/>
      <c r="K21" s="89"/>
      <c r="L21" s="89"/>
      <c r="M21" s="22"/>
      <c r="N21" s="22"/>
      <c r="O21" s="22"/>
      <c r="P21" s="22"/>
      <c r="Q21" s="22"/>
      <c r="R21" s="22"/>
      <c r="S21" s="22"/>
      <c r="T21" s="22"/>
      <c r="U21" s="22"/>
      <c r="V21" s="22"/>
      <c r="W21" s="22"/>
      <c r="X21" s="22"/>
      <c r="Y21" s="22"/>
      <c r="Z21" s="22"/>
      <c r="AA21" s="22"/>
    </row>
    <row r="22" spans="1:27">
      <c r="A22" s="22"/>
      <c r="B22" s="98"/>
      <c r="C22" s="11" t="s">
        <v>161</v>
      </c>
      <c r="D22" s="12" t="s">
        <v>39</v>
      </c>
      <c r="E22" s="13">
        <f ca="1">IF(Extras!C16=1,OFFSET(PointsEx3,MATCH(D22,Extra3,0),0,1,1),IF(Extras!C16=2,OFFSET(PointsEx3a,MATCH(D22,Extra3a,0),0,1,1),0))</f>
        <v>13</v>
      </c>
      <c r="F22" s="71"/>
      <c r="G22" s="22"/>
      <c r="H22" s="22"/>
      <c r="I22" s="22"/>
      <c r="J22" s="22"/>
      <c r="K22" s="22"/>
      <c r="L22" s="22"/>
      <c r="M22" s="22"/>
      <c r="N22" s="22"/>
      <c r="O22" s="22"/>
      <c r="P22" s="22"/>
      <c r="Q22" s="22"/>
      <c r="R22" s="22"/>
      <c r="S22" s="22"/>
      <c r="T22" s="22"/>
      <c r="U22" s="22"/>
      <c r="V22" s="22"/>
      <c r="W22" s="22"/>
      <c r="X22" s="22"/>
      <c r="Y22" s="22"/>
      <c r="Z22" s="22"/>
      <c r="AA22" s="22"/>
    </row>
    <row r="23" spans="1:27">
      <c r="A23" s="22"/>
      <c r="B23" s="98"/>
      <c r="C23" s="33" t="s">
        <v>110</v>
      </c>
      <c r="D23" s="31" t="s">
        <v>84</v>
      </c>
      <c r="E23" s="32">
        <f ca="1">OFFSET(PointsQ1,MATCH(D23,CertQualy,0),0,1,1)</f>
        <v>0</v>
      </c>
      <c r="F23" s="72"/>
      <c r="G23" s="22"/>
      <c r="H23" s="22"/>
      <c r="I23" s="22"/>
      <c r="J23" s="22"/>
      <c r="K23" s="22"/>
      <c r="L23" s="22"/>
      <c r="M23" s="22"/>
      <c r="N23" s="22"/>
      <c r="O23" s="22"/>
      <c r="P23" s="22"/>
      <c r="Q23" s="22"/>
      <c r="R23" s="22"/>
      <c r="S23" s="22"/>
      <c r="T23" s="22"/>
      <c r="U23" s="22"/>
      <c r="V23" s="22"/>
      <c r="W23" s="22"/>
      <c r="X23" s="22"/>
      <c r="Y23" s="22"/>
      <c r="Z23" s="22"/>
      <c r="AA23" s="22"/>
    </row>
    <row r="24" spans="1:27">
      <c r="A24" s="22"/>
      <c r="B24" s="98"/>
      <c r="C24" s="11" t="s">
        <v>109</v>
      </c>
      <c r="D24" s="12" t="s">
        <v>84</v>
      </c>
      <c r="E24" s="13">
        <f ca="1">OFFSET(PointsP1,MATCH(D24,ProvCert1,0),0,1,1)</f>
        <v>0</v>
      </c>
      <c r="F24" s="71"/>
      <c r="G24" s="22"/>
      <c r="H24" s="22"/>
      <c r="I24" s="22"/>
      <c r="J24" s="22"/>
      <c r="K24" s="22"/>
      <c r="L24" s="22"/>
      <c r="M24" s="22"/>
      <c r="N24" s="22"/>
      <c r="O24" s="22"/>
      <c r="P24" s="22"/>
      <c r="Q24" s="22"/>
      <c r="R24" s="22"/>
      <c r="S24" s="22"/>
      <c r="T24" s="22"/>
      <c r="U24" s="22"/>
      <c r="V24" s="22"/>
      <c r="W24" s="22"/>
      <c r="X24" s="22"/>
      <c r="Y24" s="22"/>
      <c r="Z24" s="22"/>
      <c r="AA24" s="22"/>
    </row>
    <row r="25" spans="1:27">
      <c r="A25" s="22"/>
      <c r="B25" s="98"/>
      <c r="C25" s="33" t="s">
        <v>108</v>
      </c>
      <c r="D25" s="31" t="s">
        <v>84</v>
      </c>
      <c r="E25" s="32">
        <f ca="1">OFFSET(PointsJob1,MATCH(D25,JobOffer,0),0,1,1)</f>
        <v>0</v>
      </c>
      <c r="F25" s="72"/>
      <c r="G25" s="22"/>
      <c r="H25" s="22"/>
      <c r="I25" s="22"/>
      <c r="J25" s="22"/>
      <c r="K25" s="22"/>
      <c r="L25" s="22"/>
      <c r="M25" s="22"/>
      <c r="N25" s="22"/>
      <c r="O25" s="22"/>
      <c r="P25" s="22"/>
      <c r="Q25" s="22"/>
      <c r="R25" s="22"/>
      <c r="S25" s="22"/>
      <c r="T25" s="22"/>
      <c r="U25" s="22"/>
      <c r="V25" s="22"/>
      <c r="W25" s="22"/>
      <c r="X25" s="22"/>
      <c r="Y25" s="22"/>
      <c r="Z25" s="22"/>
      <c r="AA25" s="22"/>
    </row>
    <row r="26" spans="1:27" ht="15" thickBot="1">
      <c r="A26" s="22"/>
      <c r="B26" s="99"/>
      <c r="C26" s="36" t="s">
        <v>82</v>
      </c>
      <c r="D26" s="37" t="s">
        <v>83</v>
      </c>
      <c r="E26" s="38">
        <f ca="1">OFFSET(PointsS1,MATCH(D26,Siblin,0),0,1,1)</f>
        <v>15</v>
      </c>
      <c r="F26" s="71"/>
      <c r="G26" s="22"/>
      <c r="H26" s="22"/>
      <c r="I26" s="22"/>
      <c r="J26" s="22"/>
      <c r="K26" s="22"/>
      <c r="L26" s="22"/>
      <c r="M26" s="22"/>
      <c r="N26" s="22"/>
      <c r="O26" s="22"/>
      <c r="P26" s="22"/>
      <c r="Q26" s="22"/>
      <c r="R26" s="22"/>
      <c r="S26" s="22"/>
      <c r="T26" s="22"/>
      <c r="U26" s="22"/>
      <c r="V26" s="22"/>
      <c r="W26" s="22"/>
      <c r="X26" s="22"/>
      <c r="Y26" s="22"/>
      <c r="Z26" s="22"/>
      <c r="AA26" s="22"/>
    </row>
    <row r="27" spans="1:27">
      <c r="A27" s="22"/>
      <c r="B27" s="95" t="s">
        <v>87</v>
      </c>
      <c r="C27" s="79" t="s">
        <v>63</v>
      </c>
      <c r="D27" s="79" t="s">
        <v>27</v>
      </c>
      <c r="E27" s="80">
        <f ca="1">OFFSET(Points3,MATCH(D27,Edulvl2,0),0,1,1)</f>
        <v>9</v>
      </c>
      <c r="F27" s="87"/>
      <c r="G27" s="22"/>
      <c r="H27" s="22"/>
      <c r="I27" s="22"/>
      <c r="J27" s="22"/>
      <c r="K27" s="22"/>
      <c r="L27" s="22"/>
      <c r="M27" s="22"/>
      <c r="N27" s="22"/>
      <c r="O27" s="22"/>
      <c r="P27" s="22"/>
      <c r="Q27" s="22"/>
      <c r="R27" s="22"/>
      <c r="S27" s="22"/>
      <c r="T27" s="22"/>
      <c r="U27" s="22"/>
      <c r="V27" s="22"/>
      <c r="W27" s="22"/>
      <c r="X27" s="22"/>
      <c r="Y27" s="22"/>
      <c r="Z27" s="22"/>
      <c r="AA27" s="22"/>
    </row>
    <row r="28" spans="1:27">
      <c r="A28" s="22"/>
      <c r="B28" s="96"/>
      <c r="C28" s="81" t="s">
        <v>64</v>
      </c>
      <c r="D28" s="81" t="s">
        <v>30</v>
      </c>
      <c r="E28" s="14">
        <f ca="1">OFFSET(Points5,MATCH(D28,CANW2,0),0,1,1)</f>
        <v>0</v>
      </c>
      <c r="F28" s="88"/>
      <c r="G28" s="22"/>
      <c r="H28" s="22"/>
      <c r="I28" s="22"/>
      <c r="J28" s="22"/>
      <c r="K28" s="22"/>
      <c r="L28" s="22"/>
      <c r="M28" s="22"/>
      <c r="N28" s="22"/>
      <c r="O28" s="22"/>
      <c r="P28" s="22"/>
      <c r="Q28" s="22"/>
      <c r="R28" s="22"/>
      <c r="S28" s="22"/>
      <c r="T28" s="22"/>
      <c r="U28" s="22"/>
      <c r="V28" s="22"/>
      <c r="W28" s="22"/>
      <c r="X28" s="22"/>
      <c r="Y28" s="22"/>
      <c r="Z28" s="22"/>
      <c r="AA28" s="22"/>
    </row>
    <row r="29" spans="1:27">
      <c r="A29" s="22"/>
      <c r="B29" s="96"/>
      <c r="C29" s="82" t="s">
        <v>118</v>
      </c>
      <c r="D29" s="83">
        <v>7</v>
      </c>
      <c r="E29" s="20">
        <f ca="1">IF(N6=1,OFFSET(LangPt2,MATCH(D29,Speaking,0),0,1,1),IF(N6=2,OFFSET(LangPt2,MATCH(D29,CSpeaking,0),0,1,1),IF(N6=3,OFFSET(LangPt2,MATCH(D29,TSpeaking,0),0,1,1),"")))</f>
        <v>3</v>
      </c>
      <c r="F29" s="87"/>
      <c r="G29" s="22"/>
      <c r="H29" s="22"/>
      <c r="I29" s="22"/>
      <c r="J29" s="22"/>
      <c r="K29" s="22"/>
      <c r="L29" s="22"/>
      <c r="M29" s="22"/>
      <c r="N29" s="22"/>
      <c r="O29" s="22"/>
      <c r="P29" s="22"/>
      <c r="Q29" s="22"/>
      <c r="R29" s="22"/>
      <c r="S29" s="22"/>
      <c r="T29" s="22"/>
      <c r="U29" s="22"/>
      <c r="V29" s="22"/>
      <c r="W29" s="22"/>
      <c r="X29" s="22"/>
      <c r="Y29" s="22"/>
      <c r="Z29" s="22"/>
      <c r="AA29" s="22"/>
    </row>
    <row r="30" spans="1:27">
      <c r="A30" s="22"/>
      <c r="B30" s="96"/>
      <c r="C30" s="81" t="s">
        <v>119</v>
      </c>
      <c r="D30" s="84">
        <v>7</v>
      </c>
      <c r="E30" s="14">
        <f ca="1">IF(N6=1,OFFSET(LangPt2,MATCH(D30,Listening,0),0,1,1),IF(N6=2,OFFSET(LangPt2,MATCH(D30,CListening,0),0,1,1),IF(N6=3,OFFSET(LangPt2,MATCH(D30,TListening,0),0,1,1),"")))</f>
        <v>3</v>
      </c>
      <c r="F30" s="88"/>
      <c r="G30" s="22"/>
      <c r="H30" s="22"/>
      <c r="I30" s="22"/>
      <c r="J30" s="22"/>
      <c r="K30" s="22"/>
      <c r="L30" s="22"/>
      <c r="M30" s="22"/>
      <c r="N30" s="22"/>
      <c r="O30" s="22"/>
      <c r="P30" s="22"/>
      <c r="Q30" s="22"/>
      <c r="R30" s="22"/>
      <c r="S30" s="22"/>
      <c r="T30" s="22"/>
      <c r="U30" s="22"/>
      <c r="V30" s="22"/>
      <c r="W30" s="22"/>
      <c r="X30" s="22"/>
      <c r="Y30" s="22"/>
      <c r="Z30" s="22"/>
      <c r="AA30" s="22"/>
    </row>
    <row r="31" spans="1:27">
      <c r="A31" s="22"/>
      <c r="B31" s="96"/>
      <c r="C31" s="82" t="s">
        <v>120</v>
      </c>
      <c r="D31" s="83">
        <v>7</v>
      </c>
      <c r="E31" s="20">
        <f ca="1">IF(N6=1,OFFSET(LangPt2,MATCH(D31,Reading,0),0,1,1),IF(N6=2,OFFSET(LangPt2,MATCH(D31,CReading,0),0,1,1),IF(N6=3,OFFSET(LangPt2,MATCH(D31,TReading,0),0,1,1),"")))</f>
        <v>3</v>
      </c>
      <c r="F31" s="87"/>
      <c r="G31" s="22"/>
      <c r="H31" s="22"/>
      <c r="I31" s="22"/>
      <c r="J31" s="22"/>
      <c r="K31" s="22"/>
      <c r="L31" s="22"/>
      <c r="M31" s="22"/>
      <c r="N31" s="22"/>
      <c r="O31" s="22"/>
      <c r="P31" s="22"/>
      <c r="Q31" s="22"/>
      <c r="R31" s="22"/>
      <c r="S31" s="22"/>
      <c r="T31" s="22"/>
      <c r="U31" s="22"/>
      <c r="V31" s="22"/>
      <c r="W31" s="22"/>
      <c r="X31" s="22"/>
      <c r="Y31" s="22"/>
      <c r="Z31" s="22"/>
      <c r="AA31" s="22"/>
    </row>
    <row r="32" spans="1:27" ht="15" thickBot="1">
      <c r="A32" s="22"/>
      <c r="B32" s="97"/>
      <c r="C32" s="15" t="s">
        <v>121</v>
      </c>
      <c r="D32" s="17">
        <v>7</v>
      </c>
      <c r="E32" s="16">
        <f ca="1">IF(N6=1,OFFSET(LangPt2,MATCH(D32,Writing,0),0,1,1),IF(N6=2,OFFSET(LangPt2,MATCH(D32,CWriting,0),0,1,1),IF(N6=3,OFFSET(LangPt2,MATCH(D32,TWriting,0),0,1,1),"")))</f>
        <v>3</v>
      </c>
      <c r="F32" s="88"/>
      <c r="G32" s="22"/>
      <c r="H32" s="22"/>
      <c r="I32" s="22"/>
      <c r="J32" s="22"/>
      <c r="K32" s="22"/>
      <c r="L32" s="22"/>
      <c r="M32" s="22"/>
      <c r="N32" s="22"/>
      <c r="O32" s="22"/>
      <c r="P32" s="22"/>
      <c r="Q32" s="22"/>
      <c r="R32" s="22"/>
      <c r="S32" s="22"/>
      <c r="T32" s="22"/>
      <c r="U32" s="22"/>
      <c r="V32" s="22"/>
      <c r="W32" s="22"/>
      <c r="X32" s="22"/>
      <c r="Y32" s="22"/>
      <c r="Z32" s="22"/>
      <c r="AA32" s="22"/>
    </row>
    <row r="33" spans="1:27">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row>
    <row r="34" spans="1:27">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row>
    <row r="35" spans="1:27">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row>
    <row r="36" spans="1:27">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row>
    <row r="37" spans="1:27">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row>
    <row r="38" spans="1:27">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row>
    <row r="39" spans="1:27">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row>
    <row r="40" spans="1:27">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row>
    <row r="41" spans="1:27">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row>
    <row r="42" spans="1:27">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row>
    <row r="43" spans="1:27">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row>
    <row r="44" spans="1:27">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row>
    <row r="45" spans="1:27">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row>
    <row r="46" spans="1:27">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row>
    <row r="47" spans="1:27">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row>
    <row r="48" spans="1:27">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row>
    <row r="49" spans="1:27">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row>
    <row r="50" spans="1:27">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row>
    <row r="51" spans="1:27">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row>
    <row r="52" spans="1:27">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row>
    <row r="53" spans="1:27">
      <c r="A53" s="22"/>
      <c r="B53" s="22"/>
      <c r="C53" s="22"/>
      <c r="D53" s="22"/>
      <c r="E53" s="22"/>
      <c r="F53" s="22"/>
      <c r="H53" s="22"/>
      <c r="I53" s="22"/>
      <c r="J53" s="22"/>
      <c r="K53" s="22"/>
      <c r="L53" s="22"/>
      <c r="M53" s="22"/>
      <c r="N53" s="22"/>
      <c r="O53" s="22"/>
      <c r="P53" s="22"/>
      <c r="Q53" s="22"/>
      <c r="R53" s="22"/>
      <c r="S53" s="22"/>
      <c r="T53" s="22"/>
      <c r="U53" s="22"/>
      <c r="V53" s="22"/>
      <c r="W53" s="22"/>
      <c r="X53" s="22"/>
      <c r="Y53" s="22"/>
      <c r="Z53" s="22"/>
      <c r="AA53" s="22"/>
    </row>
    <row r="54" spans="1:27">
      <c r="A54" s="22"/>
      <c r="B54" s="22"/>
      <c r="C54" s="22"/>
      <c r="D54" s="22"/>
      <c r="E54" s="22"/>
      <c r="F54" s="22"/>
      <c r="H54" s="22"/>
      <c r="I54" s="22"/>
      <c r="J54" s="22"/>
      <c r="K54" s="22"/>
      <c r="L54" s="22"/>
      <c r="M54" s="22"/>
      <c r="N54" s="22"/>
      <c r="O54" s="22"/>
      <c r="P54" s="22"/>
      <c r="Q54" s="22"/>
      <c r="R54" s="22"/>
      <c r="S54" s="22"/>
      <c r="T54" s="22"/>
      <c r="U54" s="22"/>
      <c r="V54" s="22"/>
      <c r="W54" s="22"/>
      <c r="X54" s="22"/>
      <c r="Y54" s="22"/>
      <c r="Z54" s="22"/>
      <c r="AA54" s="22"/>
    </row>
    <row r="55" spans="1:27">
      <c r="A55" s="22"/>
      <c r="B55" s="22"/>
      <c r="C55" s="22"/>
      <c r="D55" s="22"/>
      <c r="E55" s="22"/>
      <c r="F55" s="22"/>
      <c r="H55" s="22"/>
      <c r="I55" s="22"/>
      <c r="J55" s="22"/>
      <c r="K55" s="22"/>
      <c r="L55" s="22"/>
      <c r="M55" s="22"/>
      <c r="N55" s="22"/>
      <c r="O55" s="22"/>
      <c r="P55" s="22"/>
      <c r="Q55" s="22"/>
      <c r="R55" s="22"/>
      <c r="S55" s="22"/>
      <c r="T55" s="22"/>
      <c r="U55" s="22"/>
      <c r="V55" s="22"/>
      <c r="W55" s="22"/>
      <c r="X55" s="22"/>
      <c r="Y55" s="22"/>
      <c r="Z55" s="22"/>
      <c r="AA55" s="22"/>
    </row>
    <row r="56" spans="1:27">
      <c r="A56" s="22"/>
      <c r="B56" s="22"/>
      <c r="C56" s="22"/>
      <c r="D56" s="22"/>
      <c r="E56" s="22"/>
      <c r="F56" s="22"/>
      <c r="H56" s="22"/>
      <c r="I56" s="22"/>
      <c r="J56" s="22"/>
      <c r="K56" s="22"/>
      <c r="L56" s="22"/>
      <c r="M56" s="22"/>
      <c r="N56" s="22"/>
      <c r="O56" s="22"/>
      <c r="P56" s="22"/>
      <c r="Q56" s="22"/>
      <c r="R56" s="22"/>
      <c r="S56" s="22"/>
      <c r="T56" s="22"/>
      <c r="U56" s="22"/>
      <c r="V56" s="22"/>
      <c r="W56" s="22"/>
      <c r="X56" s="22"/>
      <c r="Y56" s="22"/>
      <c r="Z56" s="22"/>
      <c r="AA56" s="22"/>
    </row>
    <row r="57" spans="1:27">
      <c r="A57" s="22"/>
      <c r="B57" s="22"/>
      <c r="C57" s="22"/>
      <c r="D57" s="22"/>
      <c r="E57" s="22"/>
      <c r="F57" s="22"/>
      <c r="H57" s="22"/>
      <c r="I57" s="22"/>
      <c r="J57" s="22"/>
      <c r="K57" s="22"/>
      <c r="L57" s="22"/>
      <c r="M57" s="22"/>
      <c r="N57" s="22"/>
      <c r="O57" s="22"/>
      <c r="P57" s="22"/>
      <c r="Q57" s="22"/>
      <c r="R57" s="22"/>
      <c r="S57" s="22"/>
      <c r="T57" s="22"/>
      <c r="U57" s="22"/>
      <c r="V57" s="22"/>
      <c r="W57" s="22"/>
      <c r="X57" s="22"/>
      <c r="Y57" s="22"/>
      <c r="Z57" s="22"/>
      <c r="AA57" s="22"/>
    </row>
    <row r="58" spans="1:27">
      <c r="A58" s="22"/>
      <c r="B58" s="22"/>
      <c r="C58" s="22"/>
      <c r="D58" s="22"/>
      <c r="E58" s="22"/>
      <c r="F58" s="22"/>
      <c r="H58" s="22"/>
      <c r="I58" s="22"/>
      <c r="J58" s="22"/>
      <c r="K58" s="22"/>
      <c r="L58" s="22"/>
      <c r="M58" s="22"/>
      <c r="N58" s="22"/>
      <c r="O58" s="22"/>
      <c r="P58" s="22"/>
      <c r="Q58" s="22"/>
      <c r="R58" s="22"/>
      <c r="S58" s="22"/>
      <c r="T58" s="22"/>
      <c r="U58" s="22"/>
      <c r="V58" s="22"/>
      <c r="W58" s="22"/>
      <c r="X58" s="22"/>
      <c r="Y58" s="22"/>
      <c r="Z58" s="22"/>
      <c r="AA58" s="22"/>
    </row>
    <row r="59" spans="1:27">
      <c r="A59" s="22"/>
      <c r="B59" s="22"/>
      <c r="C59" s="22"/>
      <c r="D59" s="22"/>
      <c r="E59" s="22"/>
      <c r="F59" s="22"/>
      <c r="H59" s="22"/>
      <c r="I59" s="22"/>
      <c r="J59" s="22"/>
      <c r="K59" s="22"/>
      <c r="L59" s="22"/>
      <c r="M59" s="22"/>
      <c r="N59" s="22"/>
      <c r="O59" s="22"/>
      <c r="P59" s="22"/>
      <c r="Q59" s="22"/>
      <c r="R59" s="22"/>
      <c r="S59" s="22"/>
      <c r="T59" s="22"/>
      <c r="U59" s="22"/>
      <c r="V59" s="22"/>
      <c r="W59" s="22"/>
      <c r="X59" s="22"/>
      <c r="Y59" s="22"/>
      <c r="Z59" s="22"/>
      <c r="AA59" s="22"/>
    </row>
    <row r="60" spans="1:27">
      <c r="A60" s="22"/>
      <c r="H60" s="22"/>
      <c r="I60" s="22"/>
      <c r="J60" s="22"/>
      <c r="K60" s="22"/>
      <c r="L60" s="22"/>
      <c r="M60" s="22"/>
      <c r="N60" s="22"/>
      <c r="O60" s="22"/>
      <c r="P60" s="22"/>
      <c r="Q60" s="22"/>
      <c r="R60" s="22"/>
      <c r="S60" s="22"/>
      <c r="T60" s="22"/>
      <c r="U60" s="22"/>
      <c r="V60" s="22"/>
      <c r="W60" s="22"/>
      <c r="X60" s="22"/>
      <c r="Y60" s="22"/>
      <c r="Z60" s="22"/>
      <c r="AA60" s="22"/>
    </row>
  </sheetData>
  <mergeCells count="13">
    <mergeCell ref="B13:B16"/>
    <mergeCell ref="B4:B12"/>
    <mergeCell ref="B27:B32"/>
    <mergeCell ref="B18:B26"/>
    <mergeCell ref="H4:I4"/>
    <mergeCell ref="H5:I5"/>
    <mergeCell ref="H6:I6"/>
    <mergeCell ref="H7:I7"/>
    <mergeCell ref="C17:E17"/>
    <mergeCell ref="G13:G16"/>
    <mergeCell ref="H13:I16"/>
    <mergeCell ref="H21:L21"/>
    <mergeCell ref="H20:L20"/>
  </mergeCells>
  <dataValidations count="20">
    <dataValidation type="list" allowBlank="1" showInputMessage="1" showErrorMessage="1" sqref="D4" xr:uid="{00000000-0002-0000-0000-000000000000}">
      <formula1>Idade1</formula1>
    </dataValidation>
    <dataValidation type="list" allowBlank="1" showInputMessage="1" showErrorMessage="1" sqref="O27" xr:uid="{00000000-0002-0000-0000-000001000000}">
      <formula1>idade</formula1>
    </dataValidation>
    <dataValidation type="list" allowBlank="1" showInputMessage="1" showErrorMessage="1" sqref="D5" xr:uid="{00000000-0002-0000-0000-000002000000}">
      <formula1>Edulvl1</formula1>
    </dataValidation>
    <dataValidation type="list" allowBlank="1" showInputMessage="1" showErrorMessage="1" sqref="D10" xr:uid="{00000000-0002-0000-0000-000003000000}">
      <formula1>Work1</formula1>
    </dataValidation>
    <dataValidation type="list" allowBlank="1" showInputMessage="1" showErrorMessage="1" sqref="D11" xr:uid="{00000000-0002-0000-0000-000004000000}">
      <formula1>CANW1</formula1>
    </dataValidation>
    <dataValidation type="list" allowBlank="1" showInputMessage="1" showErrorMessage="1" sqref="D27" xr:uid="{00000000-0002-0000-0000-000005000000}">
      <formula1>Edulvl2</formula1>
    </dataValidation>
    <dataValidation type="list" allowBlank="1" showInputMessage="1" showErrorMessage="1" sqref="D28" xr:uid="{00000000-0002-0000-0000-000006000000}">
      <formula1>CANW2</formula1>
    </dataValidation>
    <dataValidation type="list" allowBlank="1" showInputMessage="1" showErrorMessage="1" sqref="D26" xr:uid="{00000000-0002-0000-0000-00000B000000}">
      <formula1>Siblin</formula1>
    </dataValidation>
    <dataValidation type="list" allowBlank="1" showInputMessage="1" showErrorMessage="1" sqref="D12" xr:uid="{00000000-0002-0000-0000-00000C000000}">
      <formula1>CANSt</formula1>
    </dataValidation>
    <dataValidation type="list" allowBlank="1" showInputMessage="1" showErrorMessage="1" sqref="D23" xr:uid="{00000000-0002-0000-0000-00000D000000}">
      <formula1>CertQualy</formula1>
    </dataValidation>
    <dataValidation type="list" allowBlank="1" showInputMessage="1" showErrorMessage="1" sqref="D24" xr:uid="{00000000-0002-0000-0000-00000E000000}">
      <formula1>ProvCert1</formula1>
    </dataValidation>
    <dataValidation type="list" allowBlank="1" showInputMessage="1" showErrorMessage="1" sqref="D25" xr:uid="{00000000-0002-0000-0000-00000F000000}">
      <formula1>JobOffer</formula1>
    </dataValidation>
    <dataValidation type="list" allowBlank="1" showInputMessage="1" showErrorMessage="1" sqref="M4 M6" xr:uid="{A69FF258-A9CE-400D-B3E4-87659EB82B68}">
      <formula1>LangSelect</formula1>
    </dataValidation>
    <dataValidation type="list" allowBlank="1" showInputMessage="1" showErrorMessage="1" sqref="D8" xr:uid="{06658B7C-195C-4662-AF0E-5F7BF247DBF0}">
      <formula1>IF(N4=1,Reading,IF(N4=2,CReading,IF(N4=3,TReading,"")))</formula1>
    </dataValidation>
    <dataValidation type="list" allowBlank="1" showInputMessage="1" showErrorMessage="1" sqref="D9" xr:uid="{95820B19-586C-428E-B93B-EFB05C4CF652}">
      <formula1>IF(N4=1,Writing,IF(N4=2,CWriting,IF(N4=3,TWriting,"")))</formula1>
    </dataValidation>
    <dataValidation type="list" allowBlank="1" showInputMessage="1" showErrorMessage="1" sqref="D15" xr:uid="{4DD4DA9B-47C6-43AB-AFB8-BA2694ADF97E}">
      <formula1>IF(N5=1,Reading,IF(N5=2,CReading,IF(N5=3,TReading,"")))</formula1>
    </dataValidation>
    <dataValidation type="list" allowBlank="1" showInputMessage="1" showErrorMessage="1" sqref="D16" xr:uid="{84D0A3C9-A460-4E42-A728-19BDE38E8105}">
      <formula1>IF(N5=1,Writing,IF(N5=2,CWriting,IF(N5=3,TWriting,"")))</formula1>
    </dataValidation>
    <dataValidation type="list" allowBlank="1" showInputMessage="1" showErrorMessage="1" sqref="D31" xr:uid="{5399F260-89B1-4D87-8494-0CD0524946A8}">
      <formula1>IF(N6=1,Reading,IF(N6=2,CReading,IF(N6=3,TReading,"")))</formula1>
    </dataValidation>
    <dataValidation type="list" allowBlank="1" showInputMessage="1" showErrorMessage="1" sqref="D32" xr:uid="{3864328E-8DBC-4CFC-8AD8-00897DD47B05}">
      <formula1>IF(N6=1,Writing,IF(N6=2,CWriting,IF(N6=3,TWriting,"")))</formula1>
    </dataValidation>
    <dataValidation type="list" showInputMessage="1" showErrorMessage="1" sqref="M5" xr:uid="{AC75D92A-CA0E-419C-9388-4FD25B08A9A5}">
      <formula1>LangSelect</formula1>
    </dataValidation>
  </dataValidations>
  <hyperlinks>
    <hyperlink ref="J7" r:id="rId1" xr:uid="{00000000-0004-0000-0000-000000000000}"/>
    <hyperlink ref="H20" r:id="rId2" xr:uid="{00000000-0004-0000-0000-000001000000}"/>
    <hyperlink ref="H21" r:id="rId3" xr:uid="{00000000-0004-0000-0000-000002000000}"/>
  </hyperlinks>
  <pageMargins left="0.511811024" right="0.511811024" top="0.78740157499999996" bottom="0.78740157499999996" header="0.31496062000000002" footer="0.31496062000000002"/>
  <pageSetup paperSize="9" orientation="portrait" horizontalDpi="4294967293" verticalDpi="4294967293" r:id="rId4"/>
  <drawing r:id="rId5"/>
  <legacyDrawing r:id="rId6"/>
  <mc:AlternateContent xmlns:mc="http://schemas.openxmlformats.org/markup-compatibility/2006">
    <mc:Choice Requires="x14">
      <controls>
        <mc:AlternateContent xmlns:mc="http://schemas.openxmlformats.org/markup-compatibility/2006">
          <mc:Choice Requires="x14">
            <control shapeId="1041" r:id="rId7" name="Button 17">
              <controlPr defaultSize="0" print="0" autoFill="0" autoPict="0" macro="[0]!ClearAll">
                <anchor moveWithCells="1" sizeWithCells="1">
                  <from>
                    <xdr:col>7</xdr:col>
                    <xdr:colOff>0</xdr:colOff>
                    <xdr:row>9</xdr:row>
                    <xdr:rowOff>0</xdr:rowOff>
                  </from>
                  <to>
                    <xdr:col>9</xdr:col>
                    <xdr:colOff>0</xdr:colOff>
                    <xdr:row>11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10000000}">
          <x14:formula1>
            <xm:f>IF(Extras!$C$14=0,Extras!$D$5,Extra1)</xm:f>
          </x14:formula1>
          <xm:sqref>D20</xm:sqref>
        </x14:dataValidation>
        <x14:dataValidation type="list" allowBlank="1" showInputMessage="1" showErrorMessage="1" xr:uid="{00000000-0002-0000-0000-000011000000}">
          <x14:formula1>
            <xm:f>IF(Extras!$C$15=0,Extras!$G$5,IF(Extras!$C$15=1,Extra2,Extra2a))</xm:f>
          </x14:formula1>
          <xm:sqref>D21</xm:sqref>
        </x14:dataValidation>
        <x14:dataValidation type="list" allowBlank="1" showInputMessage="1" showErrorMessage="1" xr:uid="{160DC51A-A240-43E8-8890-CE75AE0A39BD}">
          <x14:formula1>
            <xm:f>IF(N4=1,Speaking,IF(N4=2,CSpeaking,IF(N4=3,TEF!$B$3:$B$10,"")))</xm:f>
          </x14:formula1>
          <xm:sqref>D6</xm:sqref>
        </x14:dataValidation>
        <x14:dataValidation type="list" allowBlank="1" showInputMessage="1" showErrorMessage="1" xr:uid="{308D8857-EBEF-46A4-9FE4-5C14AA6F2FEB}">
          <x14:formula1>
            <xm:f>IF(N4=1,Listening,IF(N4=2,CListening,IF(N4=3,TEF!$C$3:$C$10,"")))</xm:f>
          </x14:formula1>
          <xm:sqref>D7</xm:sqref>
        </x14:dataValidation>
        <x14:dataValidation type="list" allowBlank="1" showInputMessage="1" showErrorMessage="1" xr:uid="{449BDA45-0EFC-4F7E-9D56-7056A8B5A4EE}">
          <x14:formula1>
            <xm:f>IF(N5=1,Speaking,IF(N5=2,CSpeaking,IF(N5=3,TEF!$B$3:$B$10,"")))</xm:f>
          </x14:formula1>
          <xm:sqref>D13</xm:sqref>
        </x14:dataValidation>
        <x14:dataValidation type="list" allowBlank="1" showInputMessage="1" showErrorMessage="1" xr:uid="{7372A4C3-51F2-4976-942F-0E938ADE8496}">
          <x14:formula1>
            <xm:f>IF(N5=1,Listening,IF(N5=2,CListening,IF(N5=3,TEF!$C$3:$C$10,"")))</xm:f>
          </x14:formula1>
          <xm:sqref>D14</xm:sqref>
        </x14:dataValidation>
        <x14:dataValidation type="list" allowBlank="1" showInputMessage="1" showErrorMessage="1" xr:uid="{A8707296-276C-40EC-ABD7-CAF02B236A72}">
          <x14:formula1>
            <xm:f>IF(N6=1,Speaking,IF(N6=2,CSpeaking,IF(N6=3,TEF!$B$3:$B$10,"")))</xm:f>
          </x14:formula1>
          <xm:sqref>D29</xm:sqref>
        </x14:dataValidation>
        <x14:dataValidation type="list" allowBlank="1" showInputMessage="1" showErrorMessage="1" xr:uid="{4370CC99-1AC9-4D91-ABDA-A4D54DF3AFA7}">
          <x14:formula1>
            <xm:f>IF(N6=1,Listening,IF(N6=2,CListening,IF(N6=3,TEF!$C$3:$C$10,"")))</xm:f>
          </x14:formula1>
          <xm:sqref>D30</xm:sqref>
        </x14:dataValidation>
        <x14:dataValidation type="list" allowBlank="1" showInputMessage="1" showErrorMessage="1" xr:uid="{D41CB597-9DEF-4980-B9DE-EBB17FA4A8FA}">
          <x14:formula1>
            <xm:f>IF(Extras!$C$16=0,Extras!$G$5,IF(Extras!$C$16=1,Extra3,Extra3a))</xm:f>
          </x14:formula1>
          <xm:sqref>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B3:X23"/>
  <sheetViews>
    <sheetView topLeftCell="J3" workbookViewId="0">
      <selection activeCell="T18" sqref="T18"/>
    </sheetView>
  </sheetViews>
  <sheetFormatPr defaultRowHeight="14.4"/>
  <cols>
    <col min="2" max="2" width="22.88671875" bestFit="1" customWidth="1"/>
    <col min="3" max="3" width="6.33203125" bestFit="1" customWidth="1"/>
    <col min="6" max="6" width="155" bestFit="1" customWidth="1"/>
    <col min="10" max="10" width="51" customWidth="1"/>
  </cols>
  <sheetData>
    <row r="3" spans="2:24" ht="145.19999999999999">
      <c r="B3" s="1" t="s">
        <v>0</v>
      </c>
      <c r="C3" s="1" t="s">
        <v>1</v>
      </c>
      <c r="F3" s="1" t="s">
        <v>21</v>
      </c>
      <c r="G3" s="1" t="s">
        <v>1</v>
      </c>
      <c r="J3" s="1" t="s">
        <v>21</v>
      </c>
      <c r="K3" s="1" t="s">
        <v>1</v>
      </c>
      <c r="N3" s="1" t="s">
        <v>29</v>
      </c>
      <c r="O3" s="1" t="s">
        <v>1</v>
      </c>
      <c r="Q3" s="1" t="s">
        <v>29</v>
      </c>
      <c r="R3" s="1" t="s">
        <v>1</v>
      </c>
      <c r="T3" s="1" t="s">
        <v>36</v>
      </c>
      <c r="U3" s="1" t="s">
        <v>37</v>
      </c>
      <c r="W3" s="1" t="s">
        <v>97</v>
      </c>
      <c r="X3" s="1" t="s">
        <v>60</v>
      </c>
    </row>
    <row r="4" spans="2:24" ht="19.5" customHeight="1">
      <c r="B4" s="2" t="s">
        <v>2</v>
      </c>
      <c r="C4" s="3">
        <v>0</v>
      </c>
      <c r="F4" s="2" t="s">
        <v>22</v>
      </c>
      <c r="G4" s="3">
        <v>0</v>
      </c>
      <c r="J4" s="2" t="s">
        <v>22</v>
      </c>
      <c r="K4" s="3">
        <v>0</v>
      </c>
      <c r="N4" s="2" t="s">
        <v>30</v>
      </c>
      <c r="O4" s="3">
        <v>0</v>
      </c>
      <c r="Q4" s="2" t="s">
        <v>30</v>
      </c>
      <c r="R4" s="3">
        <v>0</v>
      </c>
      <c r="T4" s="2" t="s">
        <v>38</v>
      </c>
      <c r="U4" s="3">
        <v>0</v>
      </c>
      <c r="W4" t="s">
        <v>84</v>
      </c>
      <c r="X4">
        <v>0</v>
      </c>
    </row>
    <row r="5" spans="2:24" ht="19.5" customHeight="1">
      <c r="B5" s="4" t="s">
        <v>3</v>
      </c>
      <c r="C5" s="5">
        <v>90</v>
      </c>
      <c r="F5" s="4" t="s">
        <v>23</v>
      </c>
      <c r="G5" s="5">
        <v>28</v>
      </c>
      <c r="J5" s="4" t="s">
        <v>23</v>
      </c>
      <c r="K5" s="5">
        <v>2</v>
      </c>
      <c r="N5" s="4" t="s">
        <v>31</v>
      </c>
      <c r="O5" s="5">
        <v>35</v>
      </c>
      <c r="Q5" s="4" t="s">
        <v>31</v>
      </c>
      <c r="R5" s="5">
        <v>5</v>
      </c>
      <c r="T5" s="4" t="s">
        <v>39</v>
      </c>
      <c r="U5" s="5">
        <v>13</v>
      </c>
      <c r="W5" t="s">
        <v>98</v>
      </c>
      <c r="X5">
        <v>0</v>
      </c>
    </row>
    <row r="6" spans="2:24" ht="20.25" customHeight="1">
      <c r="B6" s="2" t="s">
        <v>4</v>
      </c>
      <c r="C6" s="3">
        <v>95</v>
      </c>
      <c r="F6" s="2" t="s">
        <v>24</v>
      </c>
      <c r="G6" s="3">
        <v>84</v>
      </c>
      <c r="J6" s="2" t="s">
        <v>24</v>
      </c>
      <c r="K6" s="3">
        <v>6</v>
      </c>
      <c r="N6" s="2" t="s">
        <v>32</v>
      </c>
      <c r="O6" s="3">
        <v>46</v>
      </c>
      <c r="Q6" s="2" t="s">
        <v>32</v>
      </c>
      <c r="R6" s="3">
        <v>7</v>
      </c>
      <c r="T6" s="2" t="s">
        <v>40</v>
      </c>
      <c r="U6" s="5">
        <v>25</v>
      </c>
      <c r="W6" t="s">
        <v>99</v>
      </c>
      <c r="X6">
        <v>15</v>
      </c>
    </row>
    <row r="7" spans="2:24" ht="17.25" customHeight="1">
      <c r="B7" s="4" t="s">
        <v>113</v>
      </c>
      <c r="C7" s="5">
        <v>100</v>
      </c>
      <c r="F7" s="4" t="s">
        <v>25</v>
      </c>
      <c r="G7" s="5">
        <v>91</v>
      </c>
      <c r="J7" s="4" t="s">
        <v>25</v>
      </c>
      <c r="K7" s="5">
        <v>7</v>
      </c>
      <c r="N7" s="4" t="s">
        <v>33</v>
      </c>
      <c r="O7" s="5">
        <v>56</v>
      </c>
      <c r="Q7" s="4" t="s">
        <v>33</v>
      </c>
      <c r="R7" s="5">
        <v>8</v>
      </c>
      <c r="W7" t="s">
        <v>100</v>
      </c>
      <c r="X7">
        <v>30</v>
      </c>
    </row>
    <row r="8" spans="2:24" ht="18.75" customHeight="1">
      <c r="B8" s="2" t="s">
        <v>5</v>
      </c>
      <c r="C8" s="5">
        <v>95</v>
      </c>
      <c r="F8" s="2" t="s">
        <v>26</v>
      </c>
      <c r="G8" s="3">
        <v>112</v>
      </c>
      <c r="J8" s="2" t="s">
        <v>26</v>
      </c>
      <c r="K8" s="3">
        <v>8</v>
      </c>
      <c r="N8" s="2" t="s">
        <v>34</v>
      </c>
      <c r="O8" s="3">
        <v>63</v>
      </c>
      <c r="Q8" s="2" t="s">
        <v>34</v>
      </c>
      <c r="R8" s="3">
        <v>9</v>
      </c>
    </row>
    <row r="9" spans="2:24" ht="15.75" customHeight="1">
      <c r="B9" s="4" t="s">
        <v>6</v>
      </c>
      <c r="C9" s="5">
        <v>90</v>
      </c>
      <c r="F9" s="4" t="s">
        <v>27</v>
      </c>
      <c r="G9" s="5">
        <v>119</v>
      </c>
      <c r="J9" s="4" t="s">
        <v>27</v>
      </c>
      <c r="K9" s="5">
        <v>9</v>
      </c>
      <c r="N9" s="4" t="s">
        <v>35</v>
      </c>
      <c r="O9" s="5">
        <v>70</v>
      </c>
      <c r="Q9" s="4" t="s">
        <v>35</v>
      </c>
      <c r="R9" s="5">
        <v>10</v>
      </c>
    </row>
    <row r="10" spans="2:24" ht="26.4">
      <c r="B10" s="2" t="s">
        <v>7</v>
      </c>
      <c r="C10" s="3">
        <v>85</v>
      </c>
      <c r="F10" s="6" t="s">
        <v>94</v>
      </c>
      <c r="G10" s="3">
        <v>126</v>
      </c>
      <c r="J10" s="2" t="s">
        <v>94</v>
      </c>
      <c r="K10" s="3">
        <v>10</v>
      </c>
    </row>
    <row r="11" spans="2:24" ht="33" customHeight="1">
      <c r="B11" s="4" t="s">
        <v>8</v>
      </c>
      <c r="C11" s="5">
        <v>80</v>
      </c>
      <c r="F11" s="4" t="s">
        <v>28</v>
      </c>
      <c r="G11" s="5">
        <v>140</v>
      </c>
      <c r="J11" s="4" t="s">
        <v>28</v>
      </c>
      <c r="K11" s="5">
        <v>10</v>
      </c>
      <c r="T11" t="s">
        <v>116</v>
      </c>
      <c r="U11" t="s">
        <v>60</v>
      </c>
      <c r="W11" t="s">
        <v>125</v>
      </c>
      <c r="X11" t="s">
        <v>129</v>
      </c>
    </row>
    <row r="12" spans="2:24">
      <c r="B12" s="2" t="s">
        <v>9</v>
      </c>
      <c r="C12" s="3">
        <v>75</v>
      </c>
      <c r="T12" s="6" t="s">
        <v>38</v>
      </c>
      <c r="U12" s="8">
        <v>0</v>
      </c>
      <c r="W12" s="63" t="s">
        <v>126</v>
      </c>
      <c r="X12">
        <v>1</v>
      </c>
    </row>
    <row r="13" spans="2:24">
      <c r="B13" s="4" t="s">
        <v>10</v>
      </c>
      <c r="C13" s="5">
        <v>70</v>
      </c>
      <c r="T13" s="9" t="s">
        <v>39</v>
      </c>
      <c r="U13" s="10">
        <v>25</v>
      </c>
      <c r="W13" s="63" t="s">
        <v>127</v>
      </c>
      <c r="X13">
        <v>2</v>
      </c>
    </row>
    <row r="14" spans="2:24">
      <c r="B14" s="2" t="s">
        <v>11</v>
      </c>
      <c r="C14" s="3">
        <v>65</v>
      </c>
      <c r="T14" s="6" t="s">
        <v>40</v>
      </c>
      <c r="U14" s="8">
        <v>50</v>
      </c>
      <c r="W14" s="63" t="s">
        <v>128</v>
      </c>
      <c r="X14">
        <v>3</v>
      </c>
    </row>
    <row r="15" spans="2:24">
      <c r="B15" s="4" t="s">
        <v>12</v>
      </c>
      <c r="C15" s="5">
        <v>60</v>
      </c>
      <c r="X15">
        <v>4</v>
      </c>
    </row>
    <row r="16" spans="2:24">
      <c r="B16" s="2" t="s">
        <v>13</v>
      </c>
      <c r="C16" s="3">
        <v>55</v>
      </c>
    </row>
    <row r="17" spans="2:3">
      <c r="B17" s="4" t="s">
        <v>14</v>
      </c>
      <c r="C17" s="5">
        <v>50</v>
      </c>
    </row>
    <row r="18" spans="2:3">
      <c r="B18" s="2" t="s">
        <v>15</v>
      </c>
      <c r="C18" s="3">
        <v>45</v>
      </c>
    </row>
    <row r="19" spans="2:3">
      <c r="B19" s="4" t="s">
        <v>16</v>
      </c>
      <c r="C19" s="5">
        <v>35</v>
      </c>
    </row>
    <row r="20" spans="2:3">
      <c r="B20" s="2" t="s">
        <v>17</v>
      </c>
      <c r="C20" s="3">
        <v>25</v>
      </c>
    </row>
    <row r="21" spans="2:3">
      <c r="B21" s="4" t="s">
        <v>18</v>
      </c>
      <c r="C21" s="3">
        <v>15</v>
      </c>
    </row>
    <row r="22" spans="2:3">
      <c r="B22" s="2" t="s">
        <v>19</v>
      </c>
      <c r="C22" s="3">
        <v>5</v>
      </c>
    </row>
    <row r="23" spans="2:3">
      <c r="B23" s="4" t="s">
        <v>20</v>
      </c>
      <c r="C23" s="5">
        <v>0</v>
      </c>
    </row>
  </sheetData>
  <pageMargins left="0.511811024" right="0.511811024" top="0.78740157499999996" bottom="0.78740157499999996" header="0.31496062000000002" footer="0.31496062000000002"/>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4:O21"/>
  <sheetViews>
    <sheetView topLeftCell="A4" workbookViewId="0">
      <selection activeCell="C19" sqref="C19"/>
    </sheetView>
  </sheetViews>
  <sheetFormatPr defaultRowHeight="14.4"/>
  <cols>
    <col min="1" max="1" width="24.88671875" bestFit="1" customWidth="1"/>
    <col min="2" max="2" width="21.88671875" customWidth="1"/>
    <col min="3" max="3" width="17.109375" customWidth="1"/>
    <col min="5" max="5" width="27.109375" customWidth="1"/>
    <col min="6" max="6" width="22.6640625" customWidth="1"/>
    <col min="8" max="8" width="26.88671875" customWidth="1"/>
    <col min="9" max="9" width="18.5546875" customWidth="1"/>
    <col min="11" max="11" width="12.109375" customWidth="1"/>
    <col min="14" max="14" width="13.5546875" customWidth="1"/>
  </cols>
  <sheetData>
    <row r="4" spans="1:15" ht="39.6">
      <c r="B4" s="1" t="s">
        <v>67</v>
      </c>
      <c r="C4" s="1" t="s">
        <v>114</v>
      </c>
      <c r="E4" s="1" t="s">
        <v>78</v>
      </c>
      <c r="F4" s="1" t="s">
        <v>71</v>
      </c>
      <c r="H4" s="1" t="s">
        <v>75</v>
      </c>
      <c r="I4" s="1" t="s">
        <v>71</v>
      </c>
      <c r="K4" s="1" t="s">
        <v>85</v>
      </c>
      <c r="L4" t="s">
        <v>60</v>
      </c>
      <c r="N4" t="s">
        <v>102</v>
      </c>
      <c r="O4" t="s">
        <v>60</v>
      </c>
    </row>
    <row r="5" spans="1:15">
      <c r="B5" s="6" t="s">
        <v>68</v>
      </c>
      <c r="C5" s="8">
        <v>0</v>
      </c>
      <c r="E5" s="6" t="s">
        <v>72</v>
      </c>
      <c r="F5" s="8">
        <v>0</v>
      </c>
      <c r="H5" s="6" t="s">
        <v>38</v>
      </c>
      <c r="I5" s="8">
        <v>0</v>
      </c>
      <c r="K5" t="s">
        <v>83</v>
      </c>
      <c r="L5">
        <v>15</v>
      </c>
      <c r="N5" t="s">
        <v>84</v>
      </c>
      <c r="O5">
        <v>0</v>
      </c>
    </row>
    <row r="6" spans="1:15">
      <c r="B6" s="9" t="s">
        <v>69</v>
      </c>
      <c r="C6" s="10">
        <v>13</v>
      </c>
      <c r="E6" s="9" t="s">
        <v>73</v>
      </c>
      <c r="F6" s="10">
        <v>13</v>
      </c>
      <c r="H6" s="9" t="s">
        <v>39</v>
      </c>
      <c r="I6" s="10">
        <v>13</v>
      </c>
      <c r="K6" t="s">
        <v>84</v>
      </c>
      <c r="L6">
        <v>0</v>
      </c>
      <c r="N6" t="s">
        <v>103</v>
      </c>
      <c r="O6">
        <v>200</v>
      </c>
    </row>
    <row r="7" spans="1:15">
      <c r="B7" s="6" t="s">
        <v>70</v>
      </c>
      <c r="C7" s="8">
        <v>25</v>
      </c>
      <c r="E7" s="6" t="s">
        <v>74</v>
      </c>
      <c r="F7" s="8">
        <v>25</v>
      </c>
      <c r="H7" s="6" t="s">
        <v>40</v>
      </c>
      <c r="I7" s="8">
        <v>25</v>
      </c>
      <c r="N7" t="s">
        <v>104</v>
      </c>
      <c r="O7">
        <v>50</v>
      </c>
    </row>
    <row r="8" spans="1:15">
      <c r="B8" s="29"/>
      <c r="C8" s="30"/>
      <c r="E8" s="29"/>
      <c r="F8" s="30"/>
      <c r="H8" s="29"/>
      <c r="I8" s="30"/>
      <c r="N8" t="s">
        <v>105</v>
      </c>
      <c r="O8">
        <v>0</v>
      </c>
    </row>
    <row r="9" spans="1:15" ht="26.4">
      <c r="B9" s="1" t="s">
        <v>67</v>
      </c>
      <c r="C9" s="1" t="s">
        <v>115</v>
      </c>
      <c r="E9" s="29"/>
      <c r="F9" s="30"/>
      <c r="H9" s="29"/>
      <c r="I9" s="30"/>
    </row>
    <row r="10" spans="1:15" ht="36" customHeight="1">
      <c r="B10" s="6" t="s">
        <v>68</v>
      </c>
      <c r="C10" s="8">
        <v>0</v>
      </c>
      <c r="E10" s="1" t="s">
        <v>78</v>
      </c>
      <c r="F10" s="1" t="s">
        <v>79</v>
      </c>
      <c r="H10" s="1" t="s">
        <v>81</v>
      </c>
      <c r="I10" s="1" t="s">
        <v>79</v>
      </c>
      <c r="K10" s="1" t="s">
        <v>101</v>
      </c>
      <c r="L10" s="1" t="s">
        <v>60</v>
      </c>
      <c r="N10" s="1" t="s">
        <v>106</v>
      </c>
      <c r="O10" s="1" t="s">
        <v>60</v>
      </c>
    </row>
    <row r="11" spans="1:15">
      <c r="B11" s="9" t="s">
        <v>69</v>
      </c>
      <c r="C11" s="10">
        <v>25</v>
      </c>
      <c r="E11" s="6" t="s">
        <v>72</v>
      </c>
      <c r="F11" s="8">
        <v>0</v>
      </c>
      <c r="H11" s="6" t="s">
        <v>38</v>
      </c>
      <c r="I11" s="8">
        <v>0</v>
      </c>
      <c r="K11" t="s">
        <v>83</v>
      </c>
      <c r="L11">
        <v>50</v>
      </c>
      <c r="N11" t="s">
        <v>83</v>
      </c>
      <c r="O11">
        <v>600</v>
      </c>
    </row>
    <row r="12" spans="1:15">
      <c r="B12" s="6" t="s">
        <v>70</v>
      </c>
      <c r="C12" s="8">
        <v>50</v>
      </c>
      <c r="E12" s="9" t="s">
        <v>73</v>
      </c>
      <c r="F12" s="10">
        <v>25</v>
      </c>
      <c r="H12" s="9" t="s">
        <v>39</v>
      </c>
      <c r="I12" s="10">
        <v>25</v>
      </c>
      <c r="K12" t="s">
        <v>84</v>
      </c>
      <c r="L12">
        <v>0</v>
      </c>
      <c r="N12" t="s">
        <v>84</v>
      </c>
      <c r="O12">
        <v>0</v>
      </c>
    </row>
    <row r="13" spans="1:15">
      <c r="A13" t="s">
        <v>117</v>
      </c>
      <c r="B13" t="s">
        <v>76</v>
      </c>
      <c r="C13">
        <f ca="1">IF(AND(Married!E6&gt;=29,Married!E7&gt;=29,Married!E8&gt;=29,Married!E9&gt;=29,Married!E5&gt;0),1,0)</f>
        <v>1</v>
      </c>
      <c r="E13" s="6" t="s">
        <v>74</v>
      </c>
      <c r="F13" s="8">
        <v>50</v>
      </c>
      <c r="H13" s="6" t="s">
        <v>40</v>
      </c>
      <c r="I13" s="8">
        <v>50</v>
      </c>
    </row>
    <row r="14" spans="1:15">
      <c r="A14" t="s">
        <v>77</v>
      </c>
      <c r="B14" t="s">
        <v>76</v>
      </c>
      <c r="C14">
        <f ca="1">IF(AND(Married!E6&gt;=16,Married!E7&gt;=16,Married!E8&gt;=16,Married!E9&gt;=16,Married!E5&gt;0),1,0)</f>
        <v>1</v>
      </c>
    </row>
    <row r="15" spans="1:15">
      <c r="A15" t="s">
        <v>66</v>
      </c>
      <c r="B15" t="s">
        <v>76</v>
      </c>
      <c r="C15">
        <f ca="1">IF(AND(Married!E5&gt;0,Married!E11=35),1,IF(AND(Married!E5&gt;0,Married!E11&gt;=46),2,0))</f>
        <v>1</v>
      </c>
    </row>
    <row r="16" spans="1:15">
      <c r="A16" t="s">
        <v>80</v>
      </c>
      <c r="B16" t="s">
        <v>76</v>
      </c>
      <c r="C16">
        <f ca="1">IF(AND(Married!E10&gt;0,Married!E11=35),1,IF(AND(Married!E10&gt;0,Married!E11&gt;=46),2,0))</f>
        <v>1</v>
      </c>
    </row>
    <row r="18" spans="1:3">
      <c r="A18" t="s">
        <v>162</v>
      </c>
      <c r="B18" t="s">
        <v>76</v>
      </c>
      <c r="C18">
        <f ca="1">IF(B21=0,0,IF(B21=1,IF(AND(Married!E6&gt;=16,Married!E7&gt;=16,Married!E8&gt;=16,Married!E9&gt;=16),25,0),IF(AND(Married!E13&gt;=3,Married!E14&gt;=3,Married!E15&gt;=3,Married!E16&gt;=3),25,0)))</f>
        <v>25</v>
      </c>
    </row>
    <row r="19" spans="1:3">
      <c r="A19" t="s">
        <v>163</v>
      </c>
      <c r="B19" t="s">
        <v>76</v>
      </c>
      <c r="C19">
        <f ca="1">IF(C18=0,0,IF(B21=2,IF(AND(Married!F6&gt;=5,Married!F7&gt;=5,Married!F8&gt;=5,Married!F9&gt;=5),25,0),IF(AND(Married!E13&gt;=1,Married!E14&gt;=1,Married!E15&gt;=1,Married!E16&gt;=1),25,0)))</f>
        <v>25</v>
      </c>
    </row>
    <row r="21" spans="1:3">
      <c r="A21" t="s">
        <v>164</v>
      </c>
      <c r="B21">
        <f>IF(OR(Married!N4=3,Married!N5=3),IF(Married!N4=3,1,2),0)</f>
        <v>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2:I22"/>
  <sheetViews>
    <sheetView workbookViewId="0">
      <selection activeCell="F3" sqref="F3"/>
    </sheetView>
  </sheetViews>
  <sheetFormatPr defaultRowHeight="14.4"/>
  <cols>
    <col min="2" max="2" width="11" customWidth="1"/>
    <col min="3" max="3" width="10.88671875" customWidth="1"/>
    <col min="4" max="4" width="9.88671875" customWidth="1"/>
    <col min="5" max="5" width="9.44140625" customWidth="1"/>
    <col min="7" max="8" width="10.88671875" customWidth="1"/>
    <col min="9" max="9" width="11.5546875" bestFit="1" customWidth="1"/>
  </cols>
  <sheetData>
    <row r="2" spans="2:9" ht="15" thickBot="1">
      <c r="B2" t="s">
        <v>42</v>
      </c>
      <c r="C2" t="s">
        <v>43</v>
      </c>
      <c r="D2" t="s">
        <v>44</v>
      </c>
      <c r="E2" t="s">
        <v>45</v>
      </c>
      <c r="F2" s="7" t="s">
        <v>46</v>
      </c>
      <c r="G2" t="s">
        <v>61</v>
      </c>
      <c r="H2" t="s">
        <v>62</v>
      </c>
      <c r="I2" s="41" t="s">
        <v>156</v>
      </c>
    </row>
    <row r="3" spans="2:9">
      <c r="B3" s="49" t="s">
        <v>47</v>
      </c>
      <c r="C3" s="49" t="s">
        <v>49</v>
      </c>
      <c r="D3" s="49" t="s">
        <v>48</v>
      </c>
      <c r="E3" s="49" t="s">
        <v>47</v>
      </c>
      <c r="F3" s="117">
        <v>3</v>
      </c>
      <c r="G3" s="67">
        <v>0</v>
      </c>
      <c r="H3" s="67">
        <v>0</v>
      </c>
      <c r="I3" s="53">
        <v>0</v>
      </c>
    </row>
    <row r="4" spans="2:9">
      <c r="B4" s="49">
        <v>4</v>
      </c>
      <c r="C4" s="49" t="s">
        <v>57</v>
      </c>
      <c r="D4" s="49" t="s">
        <v>50</v>
      </c>
      <c r="E4" s="49" t="s">
        <v>51</v>
      </c>
      <c r="F4" s="66">
        <v>4</v>
      </c>
      <c r="G4" s="67">
        <v>6</v>
      </c>
      <c r="H4" s="67">
        <v>0</v>
      </c>
      <c r="I4" s="56">
        <v>0</v>
      </c>
    </row>
    <row r="5" spans="2:9">
      <c r="B5" s="49">
        <v>5</v>
      </c>
      <c r="C5" s="49">
        <v>5</v>
      </c>
      <c r="D5" s="49" t="s">
        <v>51</v>
      </c>
      <c r="E5" s="49">
        <v>5</v>
      </c>
      <c r="F5" s="66">
        <v>5</v>
      </c>
      <c r="G5" s="67">
        <v>6</v>
      </c>
      <c r="H5" s="67">
        <v>1</v>
      </c>
      <c r="I5" s="53">
        <v>1</v>
      </c>
    </row>
    <row r="6" spans="2:9">
      <c r="B6" s="49" t="s">
        <v>55</v>
      </c>
      <c r="C6" s="49" t="s">
        <v>55</v>
      </c>
      <c r="D6" s="49" t="s">
        <v>52</v>
      </c>
      <c r="E6" s="49" t="s">
        <v>55</v>
      </c>
      <c r="F6" s="66">
        <v>6</v>
      </c>
      <c r="G6" s="67">
        <v>8</v>
      </c>
      <c r="H6" s="67">
        <v>1</v>
      </c>
      <c r="I6" s="56">
        <v>1</v>
      </c>
    </row>
    <row r="7" spans="2:9">
      <c r="B7" s="49">
        <v>6</v>
      </c>
      <c r="C7" s="49">
        <v>6</v>
      </c>
      <c r="D7" s="49">
        <v>6</v>
      </c>
      <c r="E7" s="49">
        <v>6</v>
      </c>
      <c r="F7" s="66">
        <v>7</v>
      </c>
      <c r="G7" s="67">
        <v>16</v>
      </c>
      <c r="H7" s="67">
        <v>3</v>
      </c>
      <c r="I7" s="53">
        <v>3</v>
      </c>
    </row>
    <row r="8" spans="2:9" ht="16.5" customHeight="1">
      <c r="B8" s="49" t="s">
        <v>41</v>
      </c>
      <c r="C8" s="49" t="s">
        <v>58</v>
      </c>
      <c r="D8" s="49" t="s">
        <v>41</v>
      </c>
      <c r="E8" s="49" t="s">
        <v>41</v>
      </c>
      <c r="F8" s="66">
        <v>8</v>
      </c>
      <c r="G8" s="67">
        <v>22</v>
      </c>
      <c r="H8" s="67">
        <v>3</v>
      </c>
      <c r="I8" s="56">
        <v>3</v>
      </c>
    </row>
    <row r="9" spans="2:9" ht="15.75" customHeight="1">
      <c r="B9" s="49">
        <v>7</v>
      </c>
      <c r="C9" s="49">
        <v>8</v>
      </c>
      <c r="D9" s="49" t="s">
        <v>53</v>
      </c>
      <c r="E9" s="49">
        <v>7</v>
      </c>
      <c r="F9" s="66">
        <v>9</v>
      </c>
      <c r="G9" s="67">
        <v>29</v>
      </c>
      <c r="H9" s="67">
        <v>5</v>
      </c>
      <c r="I9" s="53">
        <v>6</v>
      </c>
    </row>
    <row r="10" spans="2:9">
      <c r="B10" s="49" t="s">
        <v>56</v>
      </c>
      <c r="C10" s="49" t="s">
        <v>59</v>
      </c>
      <c r="D10" s="49" t="s">
        <v>54</v>
      </c>
      <c r="E10" s="49" t="s">
        <v>56</v>
      </c>
      <c r="F10" s="66">
        <v>10</v>
      </c>
      <c r="G10" s="67">
        <v>32</v>
      </c>
      <c r="H10" s="67">
        <v>5</v>
      </c>
      <c r="I10" s="56">
        <v>6</v>
      </c>
    </row>
    <row r="14" spans="2:9" ht="15" thickBot="1">
      <c r="B14" s="41" t="s">
        <v>42</v>
      </c>
      <c r="C14" s="41" t="s">
        <v>43</v>
      </c>
      <c r="D14" s="41" t="s">
        <v>44</v>
      </c>
      <c r="E14" s="41" t="s">
        <v>45</v>
      </c>
      <c r="F14" s="50" t="s">
        <v>46</v>
      </c>
      <c r="G14" s="41" t="s">
        <v>61</v>
      </c>
    </row>
    <row r="15" spans="2:9">
      <c r="B15" s="51" t="s">
        <v>47</v>
      </c>
      <c r="C15" s="51" t="s">
        <v>49</v>
      </c>
      <c r="D15" s="51" t="s">
        <v>48</v>
      </c>
      <c r="E15" s="51" t="s">
        <v>47</v>
      </c>
      <c r="F15" s="52">
        <v>3</v>
      </c>
      <c r="G15" s="53">
        <v>0</v>
      </c>
    </row>
    <row r="16" spans="2:9">
      <c r="B16" s="54">
        <v>4</v>
      </c>
      <c r="C16" s="54" t="s">
        <v>57</v>
      </c>
      <c r="D16" s="54" t="s">
        <v>50</v>
      </c>
      <c r="E16" s="54" t="s">
        <v>51</v>
      </c>
      <c r="F16" s="55">
        <v>4</v>
      </c>
      <c r="G16" s="56">
        <v>0</v>
      </c>
    </row>
    <row r="17" spans="2:7">
      <c r="B17" s="51">
        <v>5</v>
      </c>
      <c r="C17" s="51">
        <v>5</v>
      </c>
      <c r="D17" s="51" t="s">
        <v>51</v>
      </c>
      <c r="E17" s="51">
        <v>5</v>
      </c>
      <c r="F17" s="52">
        <v>5</v>
      </c>
      <c r="G17" s="53">
        <v>1</v>
      </c>
    </row>
    <row r="18" spans="2:7">
      <c r="B18" s="54" t="s">
        <v>55</v>
      </c>
      <c r="C18" s="54" t="s">
        <v>55</v>
      </c>
      <c r="D18" s="54" t="s">
        <v>52</v>
      </c>
      <c r="E18" s="54" t="s">
        <v>55</v>
      </c>
      <c r="F18" s="55">
        <v>6</v>
      </c>
      <c r="G18" s="56">
        <v>1</v>
      </c>
    </row>
    <row r="19" spans="2:7">
      <c r="B19" s="51">
        <v>6</v>
      </c>
      <c r="C19" s="51">
        <v>6</v>
      </c>
      <c r="D19" s="51">
        <v>6</v>
      </c>
      <c r="E19" s="51">
        <v>6</v>
      </c>
      <c r="F19" s="52">
        <v>7</v>
      </c>
      <c r="G19" s="53">
        <v>3</v>
      </c>
    </row>
    <row r="20" spans="2:7">
      <c r="B20" s="54" t="s">
        <v>41</v>
      </c>
      <c r="C20" s="54" t="s">
        <v>58</v>
      </c>
      <c r="D20" s="54" t="s">
        <v>41</v>
      </c>
      <c r="E20" s="54" t="s">
        <v>41</v>
      </c>
      <c r="F20" s="55">
        <v>8</v>
      </c>
      <c r="G20" s="56">
        <v>3</v>
      </c>
    </row>
    <row r="21" spans="2:7">
      <c r="B21" s="51">
        <v>7</v>
      </c>
      <c r="C21" s="51">
        <v>8</v>
      </c>
      <c r="D21" s="51" t="s">
        <v>53</v>
      </c>
      <c r="E21" s="51">
        <v>7</v>
      </c>
      <c r="F21" s="52">
        <v>9</v>
      </c>
      <c r="G21" s="53">
        <v>6</v>
      </c>
    </row>
    <row r="22" spans="2:7">
      <c r="B22" s="54" t="s">
        <v>56</v>
      </c>
      <c r="C22" s="54" t="s">
        <v>59</v>
      </c>
      <c r="D22" s="54" t="s">
        <v>54</v>
      </c>
      <c r="E22" s="54" t="s">
        <v>56</v>
      </c>
      <c r="F22" s="55">
        <v>10</v>
      </c>
      <c r="G22" s="56">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0C273-5A79-4198-A1F9-B8295A46F4F4}">
  <sheetPr codeName="Plan6"/>
  <dimension ref="B2:H22"/>
  <sheetViews>
    <sheetView workbookViewId="0">
      <selection activeCell="F4" sqref="F4"/>
    </sheetView>
  </sheetViews>
  <sheetFormatPr defaultRowHeight="14.4"/>
  <cols>
    <col min="2" max="2" width="11" customWidth="1"/>
    <col min="3" max="3" width="10.88671875" customWidth="1"/>
    <col min="4" max="4" width="9.88671875" customWidth="1"/>
    <col min="5" max="5" width="9.44140625" customWidth="1"/>
    <col min="7" max="8" width="10.88671875" customWidth="1"/>
  </cols>
  <sheetData>
    <row r="2" spans="2:8">
      <c r="B2" t="s">
        <v>42</v>
      </c>
      <c r="C2" t="s">
        <v>43</v>
      </c>
      <c r="D2" t="s">
        <v>44</v>
      </c>
      <c r="E2" t="s">
        <v>45</v>
      </c>
      <c r="F2" s="7" t="s">
        <v>46</v>
      </c>
      <c r="G2" t="s">
        <v>61</v>
      </c>
      <c r="H2" t="s">
        <v>62</v>
      </c>
    </row>
    <row r="3" spans="2:8">
      <c r="B3" s="49" t="s">
        <v>48</v>
      </c>
      <c r="C3" s="49" t="s">
        <v>48</v>
      </c>
      <c r="D3" s="49" t="s">
        <v>48</v>
      </c>
      <c r="E3" s="49" t="s">
        <v>48</v>
      </c>
      <c r="F3" s="117">
        <v>3</v>
      </c>
      <c r="G3" s="67">
        <v>0</v>
      </c>
      <c r="H3" s="67">
        <v>0</v>
      </c>
    </row>
    <row r="4" spans="2:8">
      <c r="B4" s="49">
        <v>4</v>
      </c>
      <c r="C4" s="49">
        <v>4</v>
      </c>
      <c r="D4" s="49">
        <v>4</v>
      </c>
      <c r="E4" s="49">
        <v>4</v>
      </c>
      <c r="F4" s="66">
        <v>4</v>
      </c>
      <c r="G4" s="67">
        <v>6</v>
      </c>
      <c r="H4" s="67">
        <v>0</v>
      </c>
    </row>
    <row r="5" spans="2:8">
      <c r="B5" s="49">
        <v>5</v>
      </c>
      <c r="C5" s="49">
        <v>5</v>
      </c>
      <c r="D5" s="49">
        <v>5</v>
      </c>
      <c r="E5" s="49">
        <v>5</v>
      </c>
      <c r="F5" s="66">
        <v>5</v>
      </c>
      <c r="G5" s="67">
        <v>6</v>
      </c>
      <c r="H5" s="67">
        <v>1</v>
      </c>
    </row>
    <row r="6" spans="2:8">
      <c r="B6" s="49">
        <v>6</v>
      </c>
      <c r="C6" s="49">
        <v>6</v>
      </c>
      <c r="D6" s="49">
        <v>6</v>
      </c>
      <c r="E6" s="49">
        <v>6</v>
      </c>
      <c r="F6" s="66">
        <v>6</v>
      </c>
      <c r="G6" s="67">
        <v>8</v>
      </c>
      <c r="H6" s="67">
        <v>1</v>
      </c>
    </row>
    <row r="7" spans="2:8">
      <c r="B7" s="49">
        <v>7</v>
      </c>
      <c r="C7" s="49">
        <v>7</v>
      </c>
      <c r="D7" s="49">
        <v>7</v>
      </c>
      <c r="E7" s="49">
        <v>7</v>
      </c>
      <c r="F7" s="66">
        <v>7</v>
      </c>
      <c r="G7" s="67">
        <v>16</v>
      </c>
      <c r="H7" s="67">
        <v>3</v>
      </c>
    </row>
    <row r="8" spans="2:8" ht="16.5" customHeight="1">
      <c r="B8" s="49">
        <v>8</v>
      </c>
      <c r="C8" s="49">
        <v>8</v>
      </c>
      <c r="D8" s="49">
        <v>8</v>
      </c>
      <c r="E8" s="49">
        <v>8</v>
      </c>
      <c r="F8" s="66">
        <v>8</v>
      </c>
      <c r="G8" s="67">
        <v>22</v>
      </c>
      <c r="H8" s="67">
        <v>3</v>
      </c>
    </row>
    <row r="9" spans="2:8" ht="15.75" customHeight="1">
      <c r="B9" s="49">
        <v>9</v>
      </c>
      <c r="C9" s="49">
        <v>9</v>
      </c>
      <c r="D9" s="49">
        <v>9</v>
      </c>
      <c r="E9" s="49">
        <v>9</v>
      </c>
      <c r="F9" s="66">
        <v>9</v>
      </c>
      <c r="G9" s="67">
        <v>29</v>
      </c>
      <c r="H9" s="67">
        <v>5</v>
      </c>
    </row>
    <row r="10" spans="2:8">
      <c r="B10" s="49" t="s">
        <v>155</v>
      </c>
      <c r="C10" s="49" t="s">
        <v>155</v>
      </c>
      <c r="D10" s="49" t="s">
        <v>155</v>
      </c>
      <c r="E10" s="49" t="s">
        <v>155</v>
      </c>
      <c r="F10" s="66">
        <v>10</v>
      </c>
      <c r="G10" s="67">
        <v>32</v>
      </c>
      <c r="H10" s="67">
        <v>5</v>
      </c>
    </row>
    <row r="14" spans="2:8" ht="15" thickBot="1">
      <c r="B14" s="41" t="s">
        <v>42</v>
      </c>
      <c r="C14" s="41" t="s">
        <v>43</v>
      </c>
      <c r="D14" s="41" t="s">
        <v>44</v>
      </c>
      <c r="E14" s="41" t="s">
        <v>45</v>
      </c>
      <c r="F14" s="50" t="s">
        <v>46</v>
      </c>
      <c r="G14" s="41" t="s">
        <v>61</v>
      </c>
    </row>
    <row r="15" spans="2:8">
      <c r="B15" s="51" t="s">
        <v>48</v>
      </c>
      <c r="C15" s="51" t="s">
        <v>48</v>
      </c>
      <c r="D15" s="51" t="s">
        <v>48</v>
      </c>
      <c r="E15" s="51" t="s">
        <v>48</v>
      </c>
      <c r="F15" s="52">
        <v>3</v>
      </c>
      <c r="G15" s="53">
        <v>0</v>
      </c>
    </row>
    <row r="16" spans="2:8">
      <c r="B16" s="54">
        <v>4</v>
      </c>
      <c r="C16" s="54">
        <v>4</v>
      </c>
      <c r="D16" s="54">
        <v>4</v>
      </c>
      <c r="E16" s="54">
        <v>4</v>
      </c>
      <c r="F16" s="55">
        <v>4</v>
      </c>
      <c r="G16" s="56">
        <v>0</v>
      </c>
    </row>
    <row r="17" spans="2:7">
      <c r="B17" s="51">
        <v>5</v>
      </c>
      <c r="C17" s="51">
        <v>5</v>
      </c>
      <c r="D17" s="51">
        <v>5</v>
      </c>
      <c r="E17" s="51">
        <v>5</v>
      </c>
      <c r="F17" s="52">
        <v>5</v>
      </c>
      <c r="G17" s="53">
        <v>1</v>
      </c>
    </row>
    <row r="18" spans="2:7">
      <c r="B18" s="54">
        <v>6</v>
      </c>
      <c r="C18" s="54">
        <v>6</v>
      </c>
      <c r="D18" s="54">
        <v>6</v>
      </c>
      <c r="E18" s="54">
        <v>6</v>
      </c>
      <c r="F18" s="55">
        <v>6</v>
      </c>
      <c r="G18" s="56">
        <v>1</v>
      </c>
    </row>
    <row r="19" spans="2:7">
      <c r="B19" s="51">
        <v>7</v>
      </c>
      <c r="C19" s="51">
        <v>7</v>
      </c>
      <c r="D19" s="51">
        <v>7</v>
      </c>
      <c r="E19" s="51">
        <v>7</v>
      </c>
      <c r="F19" s="52">
        <v>7</v>
      </c>
      <c r="G19" s="53">
        <v>3</v>
      </c>
    </row>
    <row r="20" spans="2:7">
      <c r="B20" s="54">
        <v>8</v>
      </c>
      <c r="C20" s="54">
        <v>8</v>
      </c>
      <c r="D20" s="54">
        <v>8</v>
      </c>
      <c r="E20" s="54">
        <v>8</v>
      </c>
      <c r="F20" s="55">
        <v>8</v>
      </c>
      <c r="G20" s="56">
        <v>3</v>
      </c>
    </row>
    <row r="21" spans="2:7">
      <c r="B21" s="51">
        <v>9</v>
      </c>
      <c r="C21" s="51">
        <v>9</v>
      </c>
      <c r="D21" s="51">
        <v>9</v>
      </c>
      <c r="E21" s="51">
        <v>9</v>
      </c>
      <c r="F21" s="52">
        <v>9</v>
      </c>
      <c r="G21" s="53">
        <v>6</v>
      </c>
    </row>
    <row r="22" spans="2:7">
      <c r="B22" s="57" t="s">
        <v>155</v>
      </c>
      <c r="C22" s="57" t="s">
        <v>155</v>
      </c>
      <c r="D22" s="57" t="s">
        <v>155</v>
      </c>
      <c r="E22" s="57" t="s">
        <v>155</v>
      </c>
      <c r="F22" s="55">
        <v>10</v>
      </c>
      <c r="G22" s="56">
        <v>6</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66A1-A8C8-471D-BB36-74AACE0464C3}">
  <sheetPr codeName="Plan5"/>
  <dimension ref="B2:H22"/>
  <sheetViews>
    <sheetView workbookViewId="0">
      <selection activeCell="F3" sqref="F3"/>
    </sheetView>
  </sheetViews>
  <sheetFormatPr defaultRowHeight="14.4"/>
  <sheetData>
    <row r="2" spans="2:8">
      <c r="B2" t="s">
        <v>42</v>
      </c>
      <c r="C2" t="s">
        <v>43</v>
      </c>
      <c r="D2" t="s">
        <v>44</v>
      </c>
      <c r="E2" t="s">
        <v>45</v>
      </c>
      <c r="F2" s="7" t="s">
        <v>46</v>
      </c>
      <c r="G2" t="s">
        <v>61</v>
      </c>
      <c r="H2" t="s">
        <v>62</v>
      </c>
    </row>
    <row r="3" spans="2:8">
      <c r="B3" s="61" t="s">
        <v>131</v>
      </c>
      <c r="C3" s="68" t="s">
        <v>153</v>
      </c>
      <c r="D3" s="68" t="s">
        <v>154</v>
      </c>
      <c r="E3" s="68" t="s">
        <v>131</v>
      </c>
      <c r="F3" s="117">
        <v>3</v>
      </c>
      <c r="G3" s="67">
        <v>0</v>
      </c>
      <c r="H3" s="67">
        <v>0</v>
      </c>
    </row>
    <row r="4" spans="2:8">
      <c r="B4" s="62" t="s">
        <v>132</v>
      </c>
      <c r="C4" s="69" t="s">
        <v>151</v>
      </c>
      <c r="D4" s="69" t="s">
        <v>152</v>
      </c>
      <c r="E4" s="69" t="s">
        <v>132</v>
      </c>
      <c r="F4" s="66">
        <v>4</v>
      </c>
      <c r="G4" s="67">
        <v>6</v>
      </c>
      <c r="H4" s="67">
        <v>0</v>
      </c>
    </row>
    <row r="5" spans="2:8">
      <c r="B5" s="61" t="s">
        <v>133</v>
      </c>
      <c r="C5" s="68" t="s">
        <v>149</v>
      </c>
      <c r="D5" s="68" t="s">
        <v>150</v>
      </c>
      <c r="E5" s="68" t="s">
        <v>133</v>
      </c>
      <c r="F5" s="66">
        <v>5</v>
      </c>
      <c r="G5" s="67">
        <v>6</v>
      </c>
      <c r="H5" s="67">
        <v>1</v>
      </c>
    </row>
    <row r="6" spans="2:8">
      <c r="B6" s="62" t="s">
        <v>134</v>
      </c>
      <c r="C6" s="69" t="s">
        <v>147</v>
      </c>
      <c r="D6" s="69" t="s">
        <v>148</v>
      </c>
      <c r="E6" s="69" t="s">
        <v>134</v>
      </c>
      <c r="F6" s="66">
        <v>6</v>
      </c>
      <c r="G6" s="67">
        <v>8</v>
      </c>
      <c r="H6" s="67">
        <v>1</v>
      </c>
    </row>
    <row r="7" spans="2:8">
      <c r="B7" s="61" t="s">
        <v>135</v>
      </c>
      <c r="C7" s="68" t="s">
        <v>145</v>
      </c>
      <c r="D7" s="68" t="s">
        <v>146</v>
      </c>
      <c r="E7" s="68" t="s">
        <v>135</v>
      </c>
      <c r="F7" s="66">
        <v>7</v>
      </c>
      <c r="G7" s="67">
        <v>16</v>
      </c>
      <c r="H7" s="67">
        <v>3</v>
      </c>
    </row>
    <row r="8" spans="2:8" ht="16.5" customHeight="1">
      <c r="B8" s="62" t="s">
        <v>136</v>
      </c>
      <c r="C8" s="69" t="s">
        <v>143</v>
      </c>
      <c r="D8" s="69" t="s">
        <v>144</v>
      </c>
      <c r="E8" s="69" t="s">
        <v>136</v>
      </c>
      <c r="F8" s="66">
        <v>8</v>
      </c>
      <c r="G8" s="67">
        <v>22</v>
      </c>
      <c r="H8" s="67">
        <v>3</v>
      </c>
    </row>
    <row r="9" spans="2:8" ht="15.75" customHeight="1">
      <c r="B9" s="61" t="s">
        <v>137</v>
      </c>
      <c r="C9" s="68" t="s">
        <v>141</v>
      </c>
      <c r="D9" s="68" t="s">
        <v>142</v>
      </c>
      <c r="E9" s="68" t="s">
        <v>137</v>
      </c>
      <c r="F9" s="66">
        <v>9</v>
      </c>
      <c r="G9" s="67">
        <v>29</v>
      </c>
      <c r="H9" s="67">
        <v>5</v>
      </c>
    </row>
    <row r="10" spans="2:8">
      <c r="B10" s="62" t="s">
        <v>138</v>
      </c>
      <c r="C10" s="70" t="s">
        <v>139</v>
      </c>
      <c r="D10" s="70" t="s">
        <v>140</v>
      </c>
      <c r="E10" s="70" t="s">
        <v>138</v>
      </c>
      <c r="F10" s="66">
        <v>10</v>
      </c>
      <c r="G10" s="67">
        <v>32</v>
      </c>
      <c r="H10" s="67">
        <v>5</v>
      </c>
    </row>
    <row r="14" spans="2:8" ht="15" thickBot="1">
      <c r="B14" s="41" t="s">
        <v>42</v>
      </c>
      <c r="C14" s="41" t="s">
        <v>43</v>
      </c>
      <c r="D14" s="41" t="s">
        <v>44</v>
      </c>
      <c r="E14" s="41" t="s">
        <v>45</v>
      </c>
      <c r="F14" s="50" t="s">
        <v>46</v>
      </c>
      <c r="G14" s="41" t="s">
        <v>61</v>
      </c>
    </row>
    <row r="15" spans="2:8">
      <c r="B15" s="64" t="s">
        <v>131</v>
      </c>
      <c r="C15" s="58" t="s">
        <v>153</v>
      </c>
      <c r="D15" s="58" t="s">
        <v>154</v>
      </c>
      <c r="E15" s="58" t="s">
        <v>131</v>
      </c>
      <c r="F15" s="52">
        <v>3</v>
      </c>
      <c r="G15" s="53">
        <v>0</v>
      </c>
    </row>
    <row r="16" spans="2:8">
      <c r="B16" s="65" t="s">
        <v>132</v>
      </c>
      <c r="C16" s="59" t="s">
        <v>151</v>
      </c>
      <c r="D16" s="59" t="s">
        <v>152</v>
      </c>
      <c r="E16" s="59" t="s">
        <v>132</v>
      </c>
      <c r="F16" s="55">
        <v>4</v>
      </c>
      <c r="G16" s="56">
        <v>0</v>
      </c>
    </row>
    <row r="17" spans="2:7">
      <c r="B17" s="64" t="s">
        <v>133</v>
      </c>
      <c r="C17" s="58" t="s">
        <v>149</v>
      </c>
      <c r="D17" s="58" t="s">
        <v>150</v>
      </c>
      <c r="E17" s="58" t="s">
        <v>133</v>
      </c>
      <c r="F17" s="52">
        <v>5</v>
      </c>
      <c r="G17" s="53">
        <v>1</v>
      </c>
    </row>
    <row r="18" spans="2:7">
      <c r="B18" s="65" t="s">
        <v>134</v>
      </c>
      <c r="C18" s="59" t="s">
        <v>147</v>
      </c>
      <c r="D18" s="59" t="s">
        <v>148</v>
      </c>
      <c r="E18" s="59" t="s">
        <v>134</v>
      </c>
      <c r="F18" s="55">
        <v>6</v>
      </c>
      <c r="G18" s="56">
        <v>1</v>
      </c>
    </row>
    <row r="19" spans="2:7">
      <c r="B19" s="64" t="s">
        <v>135</v>
      </c>
      <c r="C19" s="58" t="s">
        <v>145</v>
      </c>
      <c r="D19" s="58" t="s">
        <v>146</v>
      </c>
      <c r="E19" s="58" t="s">
        <v>135</v>
      </c>
      <c r="F19" s="52">
        <v>7</v>
      </c>
      <c r="G19" s="53">
        <v>3</v>
      </c>
    </row>
    <row r="20" spans="2:7">
      <c r="B20" s="65" t="s">
        <v>136</v>
      </c>
      <c r="C20" s="59" t="s">
        <v>143</v>
      </c>
      <c r="D20" s="59" t="s">
        <v>144</v>
      </c>
      <c r="E20" s="59" t="s">
        <v>136</v>
      </c>
      <c r="F20" s="55">
        <v>8</v>
      </c>
      <c r="G20" s="56">
        <v>3</v>
      </c>
    </row>
    <row r="21" spans="2:7">
      <c r="B21" s="64" t="s">
        <v>137</v>
      </c>
      <c r="C21" s="58" t="s">
        <v>141</v>
      </c>
      <c r="D21" s="58" t="s">
        <v>142</v>
      </c>
      <c r="E21" s="58" t="s">
        <v>137</v>
      </c>
      <c r="F21" s="52">
        <v>9</v>
      </c>
      <c r="G21" s="53">
        <v>6</v>
      </c>
    </row>
    <row r="22" spans="2:7">
      <c r="B22" s="65" t="s">
        <v>138</v>
      </c>
      <c r="C22" s="60" t="s">
        <v>139</v>
      </c>
      <c r="D22" s="60" t="s">
        <v>140</v>
      </c>
      <c r="E22" s="60" t="s">
        <v>138</v>
      </c>
      <c r="F22" s="55">
        <v>10</v>
      </c>
      <c r="G22" s="56">
        <v>6</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60</vt:i4>
      </vt:variant>
    </vt:vector>
  </HeadingPairs>
  <TitlesOfParts>
    <vt:vector size="66" baseType="lpstr">
      <vt:lpstr>Married</vt:lpstr>
      <vt:lpstr>Data</vt:lpstr>
      <vt:lpstr>Extras</vt:lpstr>
      <vt:lpstr>IELTS</vt:lpstr>
      <vt:lpstr>CELPIP</vt:lpstr>
      <vt:lpstr>TEF</vt:lpstr>
      <vt:lpstr>CANSt</vt:lpstr>
      <vt:lpstr>CANW1</vt:lpstr>
      <vt:lpstr>CANW2</vt:lpstr>
      <vt:lpstr>CELPIP!CCLB</vt:lpstr>
      <vt:lpstr>CELPIPSpeak</vt:lpstr>
      <vt:lpstr>CertQualy</vt:lpstr>
      <vt:lpstr>CELPIP!CLangPt1</vt:lpstr>
      <vt:lpstr>CELPIP!CLangPt2</vt:lpstr>
      <vt:lpstr>CLB</vt:lpstr>
      <vt:lpstr>CListening</vt:lpstr>
      <vt:lpstr>CReading</vt:lpstr>
      <vt:lpstr>CSpeaking</vt:lpstr>
      <vt:lpstr>CWriting</vt:lpstr>
      <vt:lpstr>Edulvl1</vt:lpstr>
      <vt:lpstr>Edulvl2</vt:lpstr>
      <vt:lpstr>Extra1</vt:lpstr>
      <vt:lpstr>Extra1a</vt:lpstr>
      <vt:lpstr>Extra2</vt:lpstr>
      <vt:lpstr>Extra2a</vt:lpstr>
      <vt:lpstr>Extra3</vt:lpstr>
      <vt:lpstr>Extra3a</vt:lpstr>
      <vt:lpstr>Idade1</vt:lpstr>
      <vt:lpstr>JobOffer</vt:lpstr>
      <vt:lpstr>LangPt1</vt:lpstr>
      <vt:lpstr>LangPt2</vt:lpstr>
      <vt:lpstr>LangPt3</vt:lpstr>
      <vt:lpstr>LangSelect</vt:lpstr>
      <vt:lpstr>Listening</vt:lpstr>
      <vt:lpstr>Points1</vt:lpstr>
      <vt:lpstr>Points2</vt:lpstr>
      <vt:lpstr>Points3</vt:lpstr>
      <vt:lpstr>Points4</vt:lpstr>
      <vt:lpstr>Points5</vt:lpstr>
      <vt:lpstr>Points6</vt:lpstr>
      <vt:lpstr>Points6a</vt:lpstr>
      <vt:lpstr>Points7</vt:lpstr>
      <vt:lpstr>PointsEx1</vt:lpstr>
      <vt:lpstr>PointsEx1a</vt:lpstr>
      <vt:lpstr>PointsEx2</vt:lpstr>
      <vt:lpstr>PointsEx2a</vt:lpstr>
      <vt:lpstr>PointsEx3</vt:lpstr>
      <vt:lpstr>PointsEx3a</vt:lpstr>
      <vt:lpstr>PointsJob1</vt:lpstr>
      <vt:lpstr>PointsP1</vt:lpstr>
      <vt:lpstr>PointsQ1</vt:lpstr>
      <vt:lpstr>PointsS1</vt:lpstr>
      <vt:lpstr>ProvCert1</vt:lpstr>
      <vt:lpstr>Reading</vt:lpstr>
      <vt:lpstr>Siblin</vt:lpstr>
      <vt:lpstr>Speaking</vt:lpstr>
      <vt:lpstr>TEF!TCLB</vt:lpstr>
      <vt:lpstr>TEF!TLangPt1</vt:lpstr>
      <vt:lpstr>TEF!TLangPt2</vt:lpstr>
      <vt:lpstr>TListening</vt:lpstr>
      <vt:lpstr>TReading</vt:lpstr>
      <vt:lpstr>TSpeaking</vt:lpstr>
      <vt:lpstr>TWriting</vt:lpstr>
      <vt:lpstr>Work1</vt:lpstr>
      <vt:lpstr>Work1a</vt:lpstr>
      <vt:lpstr>Writing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Matheus Fontanella</dc:creator>
  <cp:lastModifiedBy>Matheus Fontanella</cp:lastModifiedBy>
  <dcterms:created xsi:type="dcterms:W3CDTF">2019-10-03T03:19:22Z</dcterms:created>
  <dcterms:modified xsi:type="dcterms:W3CDTF">2024-10-25T15:57:12Z</dcterms:modified>
</cp:coreProperties>
</file>